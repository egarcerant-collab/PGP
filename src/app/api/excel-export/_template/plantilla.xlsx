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Documents\DIRECCION RIESGO\2026\SEGUIMIENTO PGP\ANALISIS SEGUIMIENTO PGP\"/>
    </mc:Choice>
  </mc:AlternateContent>
  <xr:revisionPtr revIDLastSave="0" documentId="13_ncr:1_{F8D6C9EE-1484-4D7E-B49E-B21A4E0A85E3}" xr6:coauthVersionLast="47" xr6:coauthVersionMax="47" xr10:uidLastSave="{00000000-0000-0000-0000-000000000000}"/>
  <bookViews>
    <workbookView xWindow="-120" yWindow="-120" windowWidth="29040" windowHeight="15720" tabRatio="500" activeTab="1" xr2:uid="{00000000-000D-0000-FFFF-FFFF00000000}"/>
  </bookViews>
  <sheets>
    <sheet name="01_Instrucciones" sheetId="1" r:id="rId1"/>
    <sheet name="02_Datos_Contrato" sheetId="2" r:id="rId2"/>
    <sheet name="03_Nota_Tecnica" sheetId="3" r:id="rId3"/>
    <sheet name="04_Seguimiento_Mensual" sheetId="4" r:id="rId4"/>
    <sheet name="05_Seguimiento_Trimestral" sheetId="5" r:id="rId5"/>
    <sheet name="06_Cierre_Anual" sheetId="6" r:id="rId6"/>
    <sheet name="07_Alertas_Semaforo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25" i="2" l="1"/>
  <c r="H30" i="3" s="1"/>
  <c r="B30" i="7"/>
  <c r="B29" i="7"/>
  <c r="B28" i="7"/>
  <c r="B27" i="7"/>
  <c r="C11" i="6"/>
  <c r="C8" i="6"/>
  <c r="C7" i="6"/>
  <c r="C6" i="6"/>
  <c r="C5" i="6"/>
  <c r="C4" i="6"/>
  <c r="I7" i="5"/>
  <c r="D30" i="7" s="1"/>
  <c r="E7" i="5"/>
  <c r="E6" i="5"/>
  <c r="I6" i="5" s="1"/>
  <c r="I5" i="5"/>
  <c r="D28" i="7" s="1"/>
  <c r="E5" i="5"/>
  <c r="E4" i="5"/>
  <c r="E17" i="4"/>
  <c r="C13" i="6" s="1"/>
  <c r="I16" i="4"/>
  <c r="H16" i="4"/>
  <c r="D16" i="7" s="1"/>
  <c r="F16" i="7" s="1"/>
  <c r="I15" i="4"/>
  <c r="H15" i="4"/>
  <c r="D15" i="7" s="1"/>
  <c r="F15" i="7" s="1"/>
  <c r="I14" i="4"/>
  <c r="H14" i="4"/>
  <c r="D14" i="7" s="1"/>
  <c r="F14" i="7" s="1"/>
  <c r="I13" i="4"/>
  <c r="H13" i="4"/>
  <c r="D13" i="7" s="1"/>
  <c r="F13" i="7" s="1"/>
  <c r="I12" i="4"/>
  <c r="H12" i="4"/>
  <c r="D12" i="7" s="1"/>
  <c r="F12" i="7" s="1"/>
  <c r="I11" i="4"/>
  <c r="H11" i="4"/>
  <c r="D11" i="7" s="1"/>
  <c r="F11" i="7" s="1"/>
  <c r="I10" i="4"/>
  <c r="H10" i="4"/>
  <c r="D10" i="7" s="1"/>
  <c r="F10" i="7" s="1"/>
  <c r="I9" i="4"/>
  <c r="H9" i="4"/>
  <c r="D9" i="7" s="1"/>
  <c r="F9" i="7" s="1"/>
  <c r="I8" i="4"/>
  <c r="H8" i="4"/>
  <c r="D8" i="7" s="1"/>
  <c r="F8" i="7" s="1"/>
  <c r="I7" i="4"/>
  <c r="I6" i="4"/>
  <c r="I5" i="4"/>
  <c r="E25" i="3"/>
  <c r="G24" i="3"/>
  <c r="H24" i="3" s="1"/>
  <c r="G23" i="3"/>
  <c r="H23" i="3" s="1"/>
  <c r="G22" i="3"/>
  <c r="H22" i="3" s="1"/>
  <c r="G21" i="3"/>
  <c r="H21" i="3" s="1"/>
  <c r="H20" i="3"/>
  <c r="G20" i="3"/>
  <c r="G19" i="3"/>
  <c r="H19" i="3" s="1"/>
  <c r="G18" i="3"/>
  <c r="H18" i="3" s="1"/>
  <c r="G17" i="3"/>
  <c r="H17" i="3" s="1"/>
  <c r="G16" i="3"/>
  <c r="H16" i="3" s="1"/>
  <c r="G15" i="3"/>
  <c r="H15" i="3" s="1"/>
  <c r="G14" i="3"/>
  <c r="H14" i="3" s="1"/>
  <c r="H13" i="3"/>
  <c r="G13" i="3"/>
  <c r="G12" i="3"/>
  <c r="H12" i="3" s="1"/>
  <c r="G11" i="3"/>
  <c r="H11" i="3" s="1"/>
  <c r="G10" i="3"/>
  <c r="H10" i="3" s="1"/>
  <c r="G9" i="3"/>
  <c r="H9" i="3" s="1"/>
  <c r="G8" i="3"/>
  <c r="H8" i="3" s="1"/>
  <c r="H7" i="3"/>
  <c r="G7" i="3"/>
  <c r="H6" i="3"/>
  <c r="G6" i="3"/>
  <c r="G5" i="3"/>
  <c r="G25" i="3" s="1"/>
  <c r="C21" i="2"/>
  <c r="D11" i="4" s="1"/>
  <c r="D9" i="4" l="1"/>
  <c r="G9" i="4" s="1"/>
  <c r="C9" i="7" s="1"/>
  <c r="D14" i="4"/>
  <c r="F14" i="4" s="1"/>
  <c r="E14" i="7" s="1"/>
  <c r="D5" i="4"/>
  <c r="G5" i="4" s="1"/>
  <c r="D10" i="4"/>
  <c r="G10" i="4" s="1"/>
  <c r="C10" i="7" s="1"/>
  <c r="L7" i="5"/>
  <c r="F30" i="7" s="1"/>
  <c r="D6" i="4"/>
  <c r="G6" i="4" s="1"/>
  <c r="D13" i="4"/>
  <c r="F13" i="4" s="1"/>
  <c r="E13" i="7" s="1"/>
  <c r="E8" i="5"/>
  <c r="J5" i="5"/>
  <c r="J7" i="5"/>
  <c r="K7" i="5"/>
  <c r="E30" i="7" s="1"/>
  <c r="G11" i="4"/>
  <c r="C11" i="7" s="1"/>
  <c r="F11" i="4"/>
  <c r="E11" i="7" s="1"/>
  <c r="H31" i="3"/>
  <c r="I6" i="3"/>
  <c r="H29" i="3"/>
  <c r="I19" i="3"/>
  <c r="I24" i="3"/>
  <c r="I17" i="3"/>
  <c r="I10" i="3"/>
  <c r="I23" i="3"/>
  <c r="I16" i="3"/>
  <c r="I9" i="3"/>
  <c r="I21" i="3"/>
  <c r="I25" i="3"/>
  <c r="I12" i="3"/>
  <c r="I5" i="3"/>
  <c r="I18" i="3"/>
  <c r="I15" i="3"/>
  <c r="I14" i="3"/>
  <c r="I11" i="3"/>
  <c r="I22" i="3"/>
  <c r="I8" i="3"/>
  <c r="I7" i="3"/>
  <c r="I20" i="3"/>
  <c r="I13" i="3"/>
  <c r="L6" i="5"/>
  <c r="F29" i="7" s="1"/>
  <c r="J6" i="5"/>
  <c r="D29" i="7"/>
  <c r="K6" i="5"/>
  <c r="E29" i="7" s="1"/>
  <c r="L5" i="5"/>
  <c r="F28" i="7" s="1"/>
  <c r="F6" i="4"/>
  <c r="E6" i="7" s="1"/>
  <c r="D7" i="4"/>
  <c r="D15" i="4"/>
  <c r="D16" i="4"/>
  <c r="C12" i="6"/>
  <c r="C14" i="6" s="1"/>
  <c r="C18" i="6" s="1"/>
  <c r="C29" i="6" s="1"/>
  <c r="I17" i="4"/>
  <c r="H5" i="3"/>
  <c r="H25" i="3" s="1"/>
  <c r="D8" i="4"/>
  <c r="D12" i="4"/>
  <c r="K5" i="5"/>
  <c r="E28" i="7" s="1"/>
  <c r="F10" i="4"/>
  <c r="E10" i="7" s="1"/>
  <c r="C29" i="2"/>
  <c r="C16" i="6" s="1"/>
  <c r="C30" i="2"/>
  <c r="C17" i="6" s="1"/>
  <c r="C6" i="7" l="1"/>
  <c r="H6" i="4"/>
  <c r="D6" i="7" s="1"/>
  <c r="F6" i="7" s="1"/>
  <c r="F9" i="4"/>
  <c r="E9" i="7" s="1"/>
  <c r="G13" i="4"/>
  <c r="C13" i="7" s="1"/>
  <c r="G14" i="4"/>
  <c r="C14" i="7" s="1"/>
  <c r="F5" i="4"/>
  <c r="E5" i="7" s="1"/>
  <c r="D17" i="4"/>
  <c r="G17" i="4" s="1"/>
  <c r="C5" i="7"/>
  <c r="H5" i="4"/>
  <c r="D5" i="7" s="1"/>
  <c r="D4" i="5"/>
  <c r="G12" i="4"/>
  <c r="C12" i="7" s="1"/>
  <c r="F12" i="4"/>
  <c r="E12" i="7" s="1"/>
  <c r="D6" i="5"/>
  <c r="G16" i="4"/>
  <c r="C16" i="7" s="1"/>
  <c r="F16" i="4"/>
  <c r="E16" i="7" s="1"/>
  <c r="G15" i="4"/>
  <c r="C15" i="7" s="1"/>
  <c r="F15" i="4"/>
  <c r="E15" i="7" s="1"/>
  <c r="C15" i="6"/>
  <c r="G8" i="4"/>
  <c r="C8" i="7" s="1"/>
  <c r="F8" i="4"/>
  <c r="E8" i="7" s="1"/>
  <c r="D5" i="5"/>
  <c r="G7" i="4"/>
  <c r="F7" i="4"/>
  <c r="E7" i="7" s="1"/>
  <c r="D7" i="5"/>
  <c r="C7" i="7" l="1"/>
  <c r="H7" i="4"/>
  <c r="D7" i="7" s="1"/>
  <c r="F7" i="7" s="1"/>
  <c r="F5" i="7"/>
  <c r="C21" i="7"/>
  <c r="H5" i="5"/>
  <c r="G5" i="5"/>
  <c r="F5" i="5"/>
  <c r="C28" i="7" s="1"/>
  <c r="H6" i="5"/>
  <c r="G6" i="5"/>
  <c r="F6" i="5"/>
  <c r="C29" i="7" s="1"/>
  <c r="F17" i="4"/>
  <c r="H7" i="5"/>
  <c r="F7" i="5"/>
  <c r="C30" i="7" s="1"/>
  <c r="G7" i="5"/>
  <c r="H4" i="5"/>
  <c r="G4" i="5"/>
  <c r="F4" i="5"/>
  <c r="D8" i="5"/>
  <c r="F8" i="5" s="1"/>
  <c r="C23" i="7" l="1"/>
  <c r="C22" i="7"/>
  <c r="C20" i="7"/>
  <c r="C27" i="7"/>
  <c r="I4" i="5"/>
  <c r="H8" i="5"/>
  <c r="G8" i="5"/>
  <c r="D27" i="7" l="1"/>
  <c r="J4" i="5"/>
  <c r="J8" i="5" s="1"/>
  <c r="L4" i="5"/>
  <c r="L8" i="5" l="1"/>
  <c r="C22" i="6" s="1"/>
  <c r="F27" i="7"/>
  <c r="K4" i="5"/>
  <c r="E27" i="7" l="1"/>
  <c r="K8" i="5"/>
  <c r="C21" i="6" s="1"/>
  <c r="C23" i="6" s="1"/>
  <c r="C27" i="6" l="1"/>
  <c r="C24" i="6"/>
  <c r="C28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C27" authorId="0" shapeId="0" xr:uid="{00000000-0006-0000-0500-000001000000}">
      <text>
        <r>
          <rPr>
            <sz val="10"/>
            <rFont val="Arial"/>
            <family val="2"/>
          </rPr>
          <t>Este valor se registra como MAYOR VALOR A RECONOCER en el acta.</t>
        </r>
      </text>
    </comment>
    <comment ref="C28" authorId="0" shapeId="0" xr:uid="{00000000-0006-0000-0500-000002000000}">
      <text>
        <r>
          <rPr>
            <sz val="10"/>
            <rFont val="Arial"/>
            <family val="2"/>
          </rPr>
          <t>Este valor se registra como MENOR VALOR A RECONOCER en el acta.</t>
        </r>
      </text>
    </comment>
  </commentList>
</comments>
</file>

<file path=xl/sharedStrings.xml><?xml version="1.0" encoding="utf-8"?>
<sst xmlns="http://schemas.openxmlformats.org/spreadsheetml/2006/main" count="237" uniqueCount="208">
  <si>
    <t>SEGUIMIENTO FINANCIERO — CONTRATOS PGP DUSAKAWI EPSI</t>
  </si>
  <si>
    <t>Archivo genérico de seguimiento mensual, trimestral y anual</t>
  </si>
  <si>
    <t>ESTRUCTURA DEL ARCHIVO</t>
  </si>
  <si>
    <t>HOJA</t>
  </si>
  <si>
    <t>CONTENIDO</t>
  </si>
  <si>
    <t>TIPO</t>
  </si>
  <si>
    <t>01_Instrucciones</t>
  </si>
  <si>
    <t>Guía de uso del archivo. No requiere diligenciamiento.</t>
  </si>
  <si>
    <t>Lectura</t>
  </si>
  <si>
    <t>02_Datos_Contrato</t>
  </si>
  <si>
    <t>Información base del contrato (IPS, valor, franja, % riesgo compartido, etc.).</t>
  </si>
  <si>
    <t>INPUT</t>
  </si>
  <si>
    <t>03_Nota_Tecnica</t>
  </si>
  <si>
    <t>Actividades contratadas con frecuencia y tarifa. Cálculo automático del valor anual.</t>
  </si>
  <si>
    <t>04_Seguimiento_Mensual</t>
  </si>
  <si>
    <t>Registro mensual del valor ejecutado. Cálculos automáticos de cumplimiento.</t>
  </si>
  <si>
    <t>INPUT + AUTO</t>
  </si>
  <si>
    <t>05_Seguimiento_Trimestral</t>
  </si>
  <si>
    <t>Consolidado por trimestre con evaluación frente a franja de riesgo.</t>
  </si>
  <si>
    <t>AUTO</t>
  </si>
  <si>
    <t>06_Cierre_Anual</t>
  </si>
  <si>
    <t>Consolidado anual con descuentos y reconocimientos aplicados al cierre.</t>
  </si>
  <si>
    <t>07_Alertas_Semaforo</t>
  </si>
  <si>
    <t>Tablero visual de alertas mensuales y trimestrales.</t>
  </si>
  <si>
    <t>CÓDIGO DE COLORES</t>
  </si>
  <si>
    <t>Fondo amarillo claro + texto azul</t>
  </si>
  <si>
    <t>Celda de INPUT (usted debe diligenciar este valor)</t>
  </si>
  <si>
    <t>Fondo gris claro + texto negro</t>
  </si>
  <si>
    <t>Celda de CÁLCULO AUTOMÁTICO (no modificar)</t>
  </si>
  <si>
    <t>Texto verde</t>
  </si>
  <si>
    <t>Referencia a otra hoja del mismo archivo</t>
  </si>
  <si>
    <t>Resaltado verde (fondo)</t>
  </si>
  <si>
    <t>Valor dentro de franja de riesgo pactada (90 %–110 %)</t>
  </si>
  <si>
    <t>Resaltado amarillo (fondo)</t>
  </si>
  <si>
    <t>Alerta: cercano a límites de franja</t>
  </si>
  <si>
    <t>Resaltado rojo (fondo)</t>
  </si>
  <si>
    <t>Fuera de franja: requiere acción (descuento o reconocimiento)</t>
  </si>
  <si>
    <t>FLUJO DE DILIGENCIAMIENTO</t>
  </si>
  <si>
    <t>1. Diligenciar la hoja '02_Datos_Contrato' con la información básica del contrato.</t>
  </si>
  <si>
    <t>2. Diligenciar la hoja '03_Nota_Tecnica' con las actividades, frecuencias y tarifas pactadas. El valor anual se calcula automáticamente y debe ser verificado contra el valor contratado.</t>
  </si>
  <si>
    <t>3. Mensualmente, registrar el valor ejecutado en la hoja '04_Seguimiento_Mensual'. Los cumplimientos, alertas y desviaciones se calculan automáticamente.</t>
  </si>
  <si>
    <t>4. Al cierre de cada trimestre, revisar la hoja '05_Seguimiento_Trimestral' para validar la evaluación frente a franja de riesgo y los descuentos/reconocimientos aplicables.</t>
  </si>
  <si>
    <t>5. Al cierre anual, la hoja '06_Cierre_Anual' consolida la información requerida para el acta final de ejecución y liquidación del contrato.</t>
  </si>
  <si>
    <t>6. La hoja '07_Alertas_Semaforo' muestra el estado de cada mes y trimestre de forma visual.</t>
  </si>
  <si>
    <t>MODELO DE RIESGO COMPARTIDO (FÓRMULAS APLICADAS)</t>
  </si>
  <si>
    <t>• Franja de riesgo: permanencia de la ejecución entre el 90 % y el 110 % del valor proyectado.</t>
  </si>
  <si>
    <t>• Si la ejecución &lt; 90 % del valor proyectado → se aplica DESCUENTO = (valor mínimo proyectado – ejecutado) × % riesgo compartido.</t>
  </si>
  <si>
    <t>• Si la ejecución &gt; 110 % del valor proyectado → se aplica RECONOCIMIENTO = (ejecutado – valor máximo proyectado) × % riesgo compartido.</t>
  </si>
  <si>
    <t>• Si 90 % ≤ ejecución ≤ 110 % → sin ajuste financiero (dentro de franja, riesgo absorbido por el modelo PGP).</t>
  </si>
  <si>
    <t>• El porcentaje de riesgo compartido por defecto es 50 %, pero es editable en la hoja de datos del contrato.</t>
  </si>
  <si>
    <t>• Los ajustes se evalúan TRIMESTRALMENTE y se consolidan al cierre anual, conforme a la lógica propia del modelo PGP.</t>
  </si>
  <si>
    <t>DATOS GENERALES DEL CONTRATO PGP</t>
  </si>
  <si>
    <t>IDENTIFICACIÓN</t>
  </si>
  <si>
    <t>Número de contrato</t>
  </si>
  <si>
    <t>[Diligencie aquí]</t>
  </si>
  <si>
    <t>Fecha de suscripción</t>
  </si>
  <si>
    <t>DD/MM/AAAA</t>
  </si>
  <si>
    <t>Vigencia (fecha inicio)</t>
  </si>
  <si>
    <t>Vigencia (fecha fin)</t>
  </si>
  <si>
    <t>IPS / Unión Temporal contratada</t>
  </si>
  <si>
    <t>NIT</t>
  </si>
  <si>
    <t>Representante Legal</t>
  </si>
  <si>
    <t>C.C. Representante Legal</t>
  </si>
  <si>
    <t>[Número]</t>
  </si>
  <si>
    <t>Servicio / objeto contractual</t>
  </si>
  <si>
    <t>Departamento</t>
  </si>
  <si>
    <t>Municipio(s)</t>
  </si>
  <si>
    <t>Población objeto</t>
  </si>
  <si>
    <t>Régimen (subsidiado / contributivo / mixto)</t>
  </si>
  <si>
    <t>Aplica enfoque diferencial indígena (SÍ/NO)</t>
  </si>
  <si>
    <t>SÍ</t>
  </si>
  <si>
    <t>PARÁMETROS FINANCIEROS DEL MODELO PGP</t>
  </si>
  <si>
    <t>Valor contratado INICIAL (anual)</t>
  </si>
  <si>
    <t>Valor pactado al inicio del contrato. No incluye ajustes posteriores.</t>
  </si>
  <si>
    <t>Valor mensual proyectado INICIAL</t>
  </si>
  <si>
    <t>Valor contratado inicial dividido en 12 meses (o periodo que aplique).</t>
  </si>
  <si>
    <t>¿Hubo ajuste de nota técnica durante la vigencia? (SÍ/NO)</t>
  </si>
  <si>
    <t>NO</t>
  </si>
  <si>
    <t>Si hubo ajuste intermedio (como el caso de UROMIL), marque SÍ.</t>
  </si>
  <si>
    <t>Mes a partir del cual aplica el ajuste (1-12)</t>
  </si>
  <si>
    <t>Número del mes desde el cual rige el nuevo valor. Dejar 0 si no aplica.</t>
  </si>
  <si>
    <t>Nuevo valor mensual proyectado (tras ajuste)</t>
  </si>
  <si>
    <t>Valor mensual que rige a partir del mes indicado.</t>
  </si>
  <si>
    <t>Valor contratado FINAL (anual, con ajuste)</t>
  </si>
  <si>
    <t>Calculado: suma de meses al valor inicial + meses al valor ajustado.</t>
  </si>
  <si>
    <t>% Franja mínima de riesgo</t>
  </si>
  <si>
    <t>Por defecto 90 %. Editable si el contrato pacta otro porcentaje.</t>
  </si>
  <si>
    <t>% Franja máxima de riesgo</t>
  </si>
  <si>
    <t>Por defecto 110 %. Editable si el contrato pacta otro porcentaje.</t>
  </si>
  <si>
    <t>% Riesgo compartido (para descuentos y reconocimientos)</t>
  </si>
  <si>
    <t>Porcentaje que se aplica al faltante o exceso. Por defecto 50 %.</t>
  </si>
  <si>
    <t>Límite inferior anual (franja 90 %)</t>
  </si>
  <si>
    <t>Calculado automáticamente.</t>
  </si>
  <si>
    <t>Límite superior anual (franja 110 %)</t>
  </si>
  <si>
    <t>RESPONSABLES DEL SEGUIMIENTO</t>
  </si>
  <si>
    <t>Coordinadora de Atención Complementaria y Alto Costo (Dusakawi)</t>
  </si>
  <si>
    <t>DIANA NAVARRO IZQUIERDO</t>
  </si>
  <si>
    <t>Asesor de la Dirección de Gestión del Riesgo (Dusakawi)</t>
  </si>
  <si>
    <t>ALEXANDER ARAUJO CASTILLO</t>
  </si>
  <si>
    <t>Auditor Concurrente (Dusakawi)</t>
  </si>
  <si>
    <t>[Nombre]</t>
  </si>
  <si>
    <t>Representante Legal IPS</t>
  </si>
  <si>
    <t>Gestor del contrato IPS</t>
  </si>
  <si>
    <t>NOTA TÉCNICA — ACTIVIDADES CONTRATADAS</t>
  </si>
  <si>
    <t>Diligencie cada actividad con su frecuencia anual esperada y tarifa unitaria. El valor anual proyectado se calcula automáticamente.</t>
  </si>
  <si>
    <t>Ítem</t>
  </si>
  <si>
    <t>Código CUPS / actividad</t>
  </si>
  <si>
    <t>Descripción del servicio / procedimiento</t>
  </si>
  <si>
    <t>Frecuencia anual proyectada</t>
  </si>
  <si>
    <t>Tarifa unitaria ($)</t>
  </si>
  <si>
    <t>Valor anual proyectado ($)</t>
  </si>
  <si>
    <t>Valor mensual proyectado ($)</t>
  </si>
  <si>
    <t>% del contrato</t>
  </si>
  <si>
    <t>TOTAL NOTA TÉCNICA</t>
  </si>
  <si>
    <t>CONCILIACIÓN CON VALOR CONTRATADO</t>
  </si>
  <si>
    <t>Total Nota Técnica (suma de actividades)</t>
  </si>
  <si>
    <t>Valor contratado FINAL (hoja Datos Contrato)</t>
  </si>
  <si>
    <t>Diferencia (debe ser cero o cercana)</t>
  </si>
  <si>
    <t>SEGUIMIENTO MENSUAL DE EJECUCIÓN FINANCIERA</t>
  </si>
  <si>
    <t>Registre mensualmente el valor EJECUTADO. El valor proyectado, cumplimiento, desviación y estado se calculan automáticamente.</t>
  </si>
  <si>
    <t>#</t>
  </si>
  <si>
    <t>Mes</t>
  </si>
  <si>
    <t>Valor proyectado ($)</t>
  </si>
  <si>
    <t>Valor ejecutado ($)</t>
  </si>
  <si>
    <t>Desviación ($)</t>
  </si>
  <si>
    <t>% cumplimiento</t>
  </si>
  <si>
    <t>Estado franja</t>
  </si>
  <si>
    <t>Ejecutado acumulado ($)</t>
  </si>
  <si>
    <t>Observaciones / acciones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</si>
  <si>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</si>
  <si>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</si>
  <si>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</si>
  <si>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</si>
  <si>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</si>
  <si>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</si>
  <si>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</si>
  <si>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</si>
  <si>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</si>
  <si>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</si>
  <si>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</si>
  <si>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</si>
  <si>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TOTAL AÑO</t>
  </si>
  <si>
    <t>SEGUIMIENTO TRIMESTRAL Y EVALUACIÓN FRENTE A FRANJA DE RIESGO</t>
  </si>
  <si>
    <t>Trimestre</t>
  </si>
  <si>
    <t>Meses</t>
  </si>
  <si>
    <t>Proyectado ($)</t>
  </si>
  <si>
    <t>Ejecutado ($)</t>
  </si>
  <si>
    <t>Límite inferior 90 % ($)</t>
  </si>
  <si>
    <t>Límite superior 110 % ($)</t>
  </si>
  <si>
    <t>Estado</t>
  </si>
  <si>
    <t>Faltante / Exceso ($)</t>
  </si>
  <si>
    <t>Descuento ($)</t>
  </si>
  <si>
    <t>Reconocimiento ($)</t>
  </si>
  <si>
    <t>I Trimestre</t>
  </si>
  <si>
    <t>Enero – Marzo</t>
  </si>
  <si>
    <t>II Trimestre</t>
  </si>
  <si>
    <t>Abril – Junio</t>
  </si>
  <si>
    <t>III Trimestre</t>
  </si>
  <si>
    <t>Julio – Septiembre</t>
  </si>
  <si>
    <t>IV Trimestre</t>
  </si>
  <si>
    <t>Octubre – Diciembre</t>
  </si>
  <si>
    <t>TOTAL ANUAL</t>
  </si>
  <si>
    <t>NOTAS METODOLÓGICAS</t>
  </si>
  <si>
    <t>• El valor proyectado trimestral se calcula a partir de la hoja 04_Seguimiento_Mensual, respetando el ajuste de nota técnica si fue informado.</t>
  </si>
  <si>
    <t>• Los descuentos se calculan sobre el FALTANTE frente al límite inferior (90 %) multiplicado por el % de riesgo compartido.</t>
  </si>
  <si>
    <t>• Los reconocimientos se calculan sobre el EXCESO frente al límite superior (110 %) multiplicado por el % de riesgo compartido.</t>
  </si>
  <si>
    <t>• Si el trimestre está dentro de franja (90 %–110 %), no se aplica descuento ni reconocimiento.</t>
  </si>
  <si>
    <t>• Los descuentos/reconocimientos trimestrales son acumulativos y deben documentarse en el acta parcial de cada trimestre.</t>
  </si>
  <si>
    <t>CIERRE ANUAL DE EJECUCIÓN FINANCIERA</t>
  </si>
  <si>
    <t>I. IDENTIFICACIÓN DEL CONTRATO</t>
  </si>
  <si>
    <t>IPS / Unión Temporal</t>
  </si>
  <si>
    <t>Servicio contratado</t>
  </si>
  <si>
    <t>Territorio</t>
  </si>
  <si>
    <t>Vigencia</t>
  </si>
  <si>
    <t>II. EJECUCIÓN FINANCIERA ANUAL (CONSOLIDADO)</t>
  </si>
  <si>
    <t>Valor contrato inicial</t>
  </si>
  <si>
    <t>Valor contratado FINAL (con ajuste, si aplica)</t>
  </si>
  <si>
    <t>Valor ejecutado ANUAL (suma mensual)</t>
  </si>
  <si>
    <t>% de cumplimiento anual</t>
  </si>
  <si>
    <t>Valor sobre/sub ejecutado (ejecutado - contratado)</t>
  </si>
  <si>
    <t>Límite inferior anual (90 %)</t>
  </si>
  <si>
    <t>Límite superior anual (110 %)</t>
  </si>
  <si>
    <t>Estado anual frente a franja</t>
  </si>
  <si>
    <t>III. AJUSTES FINANCIEROS POR RIESGO COMPARTIDO</t>
  </si>
  <si>
    <t>Descuentos trimestrales acumulados (por subejecución)</t>
  </si>
  <si>
    <t>Reconocimientos trimestrales acumulados (por sobreejecución)</t>
  </si>
  <si>
    <t>Saldo neto (descuentos - reconocimientos)</t>
  </si>
  <si>
    <t>Naturaleza del saldo</t>
  </si>
  <si>
    <t>IV. INSUMO PARA ACTA DE CIERRE</t>
  </si>
  <si>
    <t>Valor a reconocer en la liquidación</t>
  </si>
  <si>
    <t>Valor a descontar en la liquidación</t>
  </si>
  <si>
    <t>Observación para el acta</t>
  </si>
  <si>
    <t>TABLERO DE ALERTAS Y SEMÁFORO DE EJECUCIÓN</t>
  </si>
  <si>
    <t>ALERTAS MENSUALES</t>
  </si>
  <si>
    <t>Acción recomendada</t>
  </si>
  <si>
    <t>CONTEO DE ALERTAS</t>
  </si>
  <si>
    <t>Meses dentro de franja</t>
  </si>
  <si>
    <t>Meses en subejecución</t>
  </si>
  <si>
    <t>Meses en sobreejecución</t>
  </si>
  <si>
    <t>Meses sin registro</t>
  </si>
  <si>
    <t>ESTADO TRIMESTRAL</t>
  </si>
  <si>
    <t>SUB - CON</t>
  </si>
  <si>
    <t>VITAL SALUD</t>
  </si>
  <si>
    <t>LA GUAJIRA</t>
  </si>
  <si>
    <t>ALBANIA, BARRANCAS, DIBULLA, DISTRACCION, FONSECA, HATONUECO, MAICAO, MANAURE, SAN JUAN DEL CESAR, RIOHACHA Y URIBIA</t>
  </si>
  <si>
    <t>901226064-0</t>
  </si>
  <si>
    <t>ISELA MARIVETH MENGUAL BRTITO</t>
  </si>
  <si>
    <t>SERVICIOS AMBULATORIO Y HOSPITALARIOS DE SALUD MENTAL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</si>
</sst>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 &quot;#,##0.00;&quot;$ (&quot;#,##0.00\);\-"/>
    <numFmt numFmtId="165" formatCode="0.0%;\(0.0%\);\-"/>
  </numFmts>
  <fonts count="11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4"/>
      <color rgb="FFFFFFFF"/>
      <name val="Arial"/>
      <family val="2"/>
    </font>
    <font>
      <i/>
      <sz val="9"/>
      <color rgb="FF595959"/>
      <name val="Arial"/>
      <family val="2"/>
    </font>
    <font>
      <b/>
      <sz val="11"/>
      <color rgb="FFFFFFFF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FF"/>
      <name val="Arial"/>
      <family val="2"/>
    </font>
    <font>
      <sz val="10"/>
      <color rgb="FF006100"/>
      <name val="Arial"/>
      <family val="2"/>
    </font>
    <font>
      <b/>
      <sz val="11"/>
      <color rgb="FF000000"/>
      <name val="Arial"/>
      <family val="2"/>
    </font>
    <font>
      <b/>
      <sz val="1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D5E8F0"/>
        <bgColor rgb="FFE2EFDA"/>
      </patternFill>
    </fill>
    <fill>
      <patternFill patternType="solid">
        <fgColor rgb="FFFFF2CC"/>
        <bgColor rgb="FFFCE4D6"/>
      </patternFill>
    </fill>
    <fill>
      <patternFill patternType="solid">
        <fgColor rgb="FFEDEDED"/>
        <bgColor rgb="FFE2EFDA"/>
      </patternFill>
    </fill>
    <fill>
      <patternFill patternType="solid">
        <fgColor rgb="FFE2EFDA"/>
        <bgColor rgb="FFEDEDED"/>
      </patternFill>
    </fill>
    <fill>
      <patternFill patternType="solid">
        <fgColor rgb="FFF8CBAD"/>
        <bgColor rgb="FFFFC7CE"/>
      </patternFill>
    </fill>
    <fill>
      <patternFill patternType="solid">
        <fgColor rgb="FFFCE4D6"/>
        <bgColor rgb="FFFFF2CC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60">
    <xf numFmtId="0" fontId="0" fillId="0" borderId="0" xfId="0"/>
    <xf numFmtId="164" fontId="6" fillId="6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7" fillId="5" borderId="1" xfId="0" applyFont="1" applyFill="1" applyBorder="1" applyAlignment="1">
      <alignment vertical="center" wrapText="1"/>
    </xf>
    <xf numFmtId="0" fontId="6" fillId="6" borderId="1" xfId="0" applyFont="1" applyFill="1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0" fontId="6" fillId="7" borderId="1" xfId="0" applyFont="1" applyFill="1" applyBorder="1" applyAlignment="1">
      <alignment vertical="center" wrapText="1"/>
    </xf>
    <xf numFmtId="0" fontId="6" fillId="5" borderId="1" xfId="0" applyFont="1" applyFill="1" applyBorder="1" applyAlignment="1">
      <alignment vertical="center" wrapText="1"/>
    </xf>
    <xf numFmtId="0" fontId="6" fillId="8" borderId="1" xfId="0" applyFont="1" applyFill="1" applyBorder="1" applyAlignment="1">
      <alignment vertical="center" wrapText="1"/>
    </xf>
    <xf numFmtId="3" fontId="7" fillId="5" borderId="1" xfId="0" applyNumberFormat="1" applyFont="1" applyFill="1" applyBorder="1" applyAlignment="1">
      <alignment vertical="center" wrapText="1"/>
    </xf>
    <xf numFmtId="164" fontId="7" fillId="5" borderId="1" xfId="0" applyNumberFormat="1" applyFont="1" applyFill="1" applyBorder="1" applyAlignment="1">
      <alignment horizontal="right" vertical="center"/>
    </xf>
    <xf numFmtId="0" fontId="3" fillId="0" borderId="1" xfId="0" applyFont="1" applyBorder="1" applyAlignment="1">
      <alignment vertical="center" wrapText="1"/>
    </xf>
    <xf numFmtId="0" fontId="7" fillId="5" borderId="1" xfId="0" applyFont="1" applyFill="1" applyBorder="1" applyAlignment="1">
      <alignment horizontal="right" vertical="center"/>
    </xf>
    <xf numFmtId="1" fontId="7" fillId="5" borderId="1" xfId="0" applyNumberFormat="1" applyFont="1" applyFill="1" applyBorder="1" applyAlignment="1">
      <alignment horizontal="right" vertical="center"/>
    </xf>
    <xf numFmtId="165" fontId="7" fillId="5" borderId="1" xfId="0" applyNumberFormat="1" applyFont="1" applyFill="1" applyBorder="1" applyAlignment="1">
      <alignment horizontal="right" vertical="center"/>
    </xf>
    <xf numFmtId="0" fontId="7" fillId="5" borderId="1" xfId="0" applyFont="1" applyFill="1" applyBorder="1" applyAlignment="1">
      <alignment vertical="center"/>
    </xf>
    <xf numFmtId="0" fontId="5" fillId="4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/>
    </xf>
    <xf numFmtId="3" fontId="7" fillId="5" borderId="1" xfId="0" applyNumberFormat="1" applyFont="1" applyFill="1" applyBorder="1" applyAlignment="1">
      <alignment horizontal="right"/>
    </xf>
    <xf numFmtId="164" fontId="7" fillId="5" borderId="1" xfId="0" applyNumberFormat="1" applyFont="1" applyFill="1" applyBorder="1" applyAlignment="1">
      <alignment horizontal="right"/>
    </xf>
    <xf numFmtId="164" fontId="6" fillId="6" borderId="1" xfId="0" applyNumberFormat="1" applyFont="1" applyFill="1" applyBorder="1" applyAlignment="1">
      <alignment horizontal="right"/>
    </xf>
    <xf numFmtId="165" fontId="6" fillId="6" borderId="1" xfId="0" applyNumberFormat="1" applyFont="1" applyFill="1" applyBorder="1" applyAlignment="1">
      <alignment horizontal="right"/>
    </xf>
    <xf numFmtId="0" fontId="0" fillId="7" borderId="1" xfId="0" applyFill="1" applyBorder="1"/>
    <xf numFmtId="0" fontId="5" fillId="7" borderId="1" xfId="0" applyFont="1" applyFill="1" applyBorder="1" applyAlignment="1">
      <alignment horizontal="right"/>
    </xf>
    <xf numFmtId="0" fontId="5" fillId="7" borderId="1" xfId="0" applyFont="1" applyFill="1" applyBorder="1"/>
    <xf numFmtId="3" fontId="5" fillId="7" borderId="1" xfId="0" applyNumberFormat="1" applyFont="1" applyFill="1" applyBorder="1"/>
    <xf numFmtId="164" fontId="5" fillId="7" borderId="1" xfId="0" applyNumberFormat="1" applyFont="1" applyFill="1" applyBorder="1"/>
    <xf numFmtId="165" fontId="5" fillId="7" borderId="1" xfId="0" applyNumberFormat="1" applyFont="1" applyFill="1" applyBorder="1"/>
    <xf numFmtId="164" fontId="8" fillId="6" borderId="1" xfId="0" applyNumberFormat="1" applyFont="1" applyFill="1" applyBorder="1" applyAlignment="1">
      <alignment horizontal="right"/>
    </xf>
    <xf numFmtId="0" fontId="6" fillId="6" borderId="1" xfId="0" applyFont="1" applyFill="1" applyBorder="1" applyAlignment="1">
      <alignment horizontal="left"/>
    </xf>
    <xf numFmtId="0" fontId="5" fillId="7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0" fillId="7" borderId="0" xfId="0" applyFill="1"/>
    <xf numFmtId="164" fontId="5" fillId="7" borderId="1" xfId="0" applyNumberFormat="1" applyFont="1" applyFill="1" applyBorder="1" applyAlignment="1">
      <alignment horizontal="right"/>
    </xf>
    <xf numFmtId="0" fontId="5" fillId="4" borderId="1" xfId="0" applyFont="1" applyFill="1" applyBorder="1" applyAlignment="1">
      <alignment vertical="center"/>
    </xf>
    <xf numFmtId="0" fontId="6" fillId="6" borderId="1" xfId="0" applyFont="1" applyFill="1" applyBorder="1"/>
    <xf numFmtId="165" fontId="8" fillId="6" borderId="1" xfId="0" applyNumberFormat="1" applyFont="1" applyFill="1" applyBorder="1" applyAlignment="1">
      <alignment horizontal="right"/>
    </xf>
    <xf numFmtId="0" fontId="8" fillId="6" borderId="1" xfId="0" applyFont="1" applyFill="1" applyBorder="1" applyAlignment="1">
      <alignment horizontal="center"/>
    </xf>
    <xf numFmtId="1" fontId="6" fillId="6" borderId="1" xfId="0" applyNumberFormat="1" applyFont="1" applyFill="1" applyBorder="1" applyAlignment="1">
      <alignment horizontal="center"/>
    </xf>
    <xf numFmtId="14" fontId="7" fillId="5" borderId="1" xfId="0" applyNumberFormat="1" applyFont="1" applyFill="1" applyBorder="1" applyAlignment="1">
      <alignment vertical="center" wrapText="1"/>
    </xf>
    <xf numFmtId="0" fontId="6" fillId="0" borderId="0" xfId="0" applyFont="1" applyAlignment="1">
      <alignment vertical="top" wrapText="1"/>
    </xf>
    <xf numFmtId="0" fontId="4" fillId="3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/>
    </xf>
    <xf numFmtId="0" fontId="6" fillId="0" borderId="2" xfId="0" applyFont="1" applyBorder="1"/>
    <xf numFmtId="0" fontId="3" fillId="0" borderId="0" xfId="0" applyFont="1" applyAlignment="1">
      <alignment wrapText="1"/>
    </xf>
    <xf numFmtId="0" fontId="4" fillId="3" borderId="0" xfId="0" applyFont="1" applyFill="1" applyAlignment="1">
      <alignment horizontal="center"/>
    </xf>
    <xf numFmtId="0" fontId="3" fillId="0" borderId="0" xfId="0" applyFont="1"/>
    <xf numFmtId="0" fontId="3" fillId="0" borderId="0" xfId="0" applyFont="1" applyAlignment="1">
      <alignment vertical="top" wrapText="1"/>
    </xf>
    <xf numFmtId="0" fontId="10" fillId="6" borderId="1" xfId="0" applyFont="1" applyFill="1" applyBorder="1" applyAlignment="1">
      <alignment horizontal="center" vertical="center"/>
    </xf>
    <xf numFmtId="164" fontId="6" fillId="7" borderId="1" xfId="0" applyNumberFormat="1" applyFont="1" applyFill="1" applyBorder="1" applyAlignment="1">
      <alignment horizontal="right" vertical="center"/>
    </xf>
    <xf numFmtId="0" fontId="6" fillId="7" borderId="1" xfId="0" applyFont="1" applyFill="1" applyBorder="1" applyAlignment="1">
      <alignment horizontal="left" vertical="center" wrapText="1"/>
    </xf>
    <xf numFmtId="0" fontId="9" fillId="6" borderId="1" xfId="0" applyFont="1" applyFill="1" applyBorder="1" applyAlignment="1">
      <alignment horizontal="right" vertical="center"/>
    </xf>
    <xf numFmtId="164" fontId="8" fillId="6" borderId="1" xfId="0" applyNumberFormat="1" applyFont="1" applyFill="1" applyBorder="1" applyAlignment="1">
      <alignment horizontal="right" vertical="center"/>
    </xf>
    <xf numFmtId="164" fontId="6" fillId="6" borderId="1" xfId="0" applyNumberFormat="1" applyFont="1" applyFill="1" applyBorder="1" applyAlignment="1">
      <alignment horizontal="right" vertical="center"/>
    </xf>
    <xf numFmtId="165" fontId="9" fillId="9" borderId="1" xfId="0" applyNumberFormat="1" applyFont="1" applyFill="1" applyBorder="1" applyAlignment="1">
      <alignment horizontal="right" vertical="center"/>
    </xf>
    <xf numFmtId="0" fontId="8" fillId="6" borderId="1" xfId="0" applyFont="1" applyFill="1" applyBorder="1" applyAlignment="1">
      <alignment vertical="center"/>
    </xf>
    <xf numFmtId="0" fontId="0" fillId="6" borderId="2" xfId="0" applyFill="1" applyBorder="1"/>
  </cellXfs>
  <cellStyles count="1">
    <cellStyle name="Normal" xfId="0" builtinId="0"/>
  </cellStyles>
  <dxfs count="20">
    <dxf>
      <font>
        <b/>
        <color rgb="FF9C5700"/>
      </font>
      <fill>
        <patternFill>
          <bgColor rgb="FFFFD966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006100"/>
      </font>
      <fill>
        <patternFill>
          <bgColor rgb="FFC6EFCE"/>
        </patternFill>
      </fill>
    </dxf>
    <dxf>
      <font>
        <color rgb="FF595959"/>
      </font>
      <fill>
        <patternFill>
          <bgColor rgb="FFD9D9D9"/>
        </patternFill>
      </fill>
    </dxf>
    <dxf>
      <font>
        <b/>
        <color rgb="FF9C5700"/>
      </font>
      <fill>
        <patternFill>
          <bgColor rgb="FFFFD966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006100"/>
      </font>
      <fill>
        <patternFill>
          <bgColor rgb="FFC6EFCE"/>
        </patternFill>
      </fill>
    </dxf>
    <dxf>
      <font>
        <b/>
        <color rgb="FF9C5700"/>
      </font>
      <fill>
        <patternFill>
          <bgColor rgb="FFFFD966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006100"/>
      </font>
      <fill>
        <patternFill>
          <bgColor rgb="FFC6EFCE"/>
        </patternFill>
      </fill>
    </dxf>
    <dxf>
      <font>
        <b/>
        <color rgb="FF9C5700"/>
      </font>
      <fill>
        <patternFill>
          <bgColor rgb="FFFFD966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006100"/>
      </font>
      <fill>
        <patternFill>
          <bgColor rgb="FFC6EFCE"/>
        </patternFill>
      </fill>
    </dxf>
    <dxf>
      <font>
        <color rgb="FF595959"/>
      </font>
      <fill>
        <patternFill>
          <bgColor rgb="FFD9D9D9"/>
        </patternFill>
      </fill>
    </dxf>
    <dxf>
      <font>
        <color rgb="FF9C5700"/>
      </font>
      <fill>
        <patternFill>
          <bgColor rgb="FFFFD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FFD966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5E8F0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CE4D6"/>
      <rgbColor rgb="FFEDEDED"/>
      <rgbColor rgb="FFFFC7CE"/>
      <rgbColor rgb="FFCC99FF"/>
      <rgbColor rgb="FFF8CBAD"/>
      <rgbColor rgb="FF2E75B6"/>
      <rgbColor rgb="FF33CCCC"/>
      <rgbColor rgb="FF99CC00"/>
      <rgbColor rgb="FFFFD966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C57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8"/>
  <sheetViews>
    <sheetView showGridLines="0" zoomScaleNormal="100" workbookViewId="0">
      <selection activeCell="M20" sqref="M20"/>
    </sheetView>
  </sheetViews>
  <sheetFormatPr baseColWidth="10" defaultColWidth="8.7109375" defaultRowHeight="15" x14ac:dyDescent="0.25"/>
  <cols>
    <col min="1" max="1" width="5" customWidth="1"/>
    <col min="2" max="2" width="30" customWidth="1"/>
    <col min="3" max="3" width="90" customWidth="1"/>
    <col min="4" max="4" width="15" customWidth="1"/>
    <col min="5" max="6" width="10" customWidth="1"/>
  </cols>
  <sheetData>
    <row r="1" spans="1:6" ht="25.5" customHeight="1" x14ac:dyDescent="0.25">
      <c r="A1" s="44" t="s">
        <v>0</v>
      </c>
      <c r="B1" s="44"/>
      <c r="C1" s="44"/>
      <c r="D1" s="44"/>
      <c r="E1" s="44"/>
      <c r="F1" s="44"/>
    </row>
    <row r="2" spans="1:6" x14ac:dyDescent="0.25">
      <c r="A2" s="45" t="s">
        <v>1</v>
      </c>
      <c r="B2" s="45"/>
      <c r="C2" s="45"/>
      <c r="D2" s="45"/>
      <c r="E2" s="45"/>
      <c r="F2" s="45"/>
    </row>
    <row r="4" spans="1:6" ht="21.75" customHeight="1" x14ac:dyDescent="0.25">
      <c r="A4" s="43" t="s">
        <v>2</v>
      </c>
      <c r="B4" s="43"/>
      <c r="C4" s="43"/>
      <c r="D4" s="43"/>
      <c r="E4" s="43"/>
      <c r="F4" s="43"/>
    </row>
    <row r="5" spans="1:6" x14ac:dyDescent="0.25">
      <c r="B5" s="2" t="s">
        <v>3</v>
      </c>
      <c r="C5" s="2" t="s">
        <v>4</v>
      </c>
      <c r="D5" s="2" t="s">
        <v>5</v>
      </c>
    </row>
    <row r="6" spans="1:6" x14ac:dyDescent="0.25">
      <c r="B6" s="3" t="s">
        <v>6</v>
      </c>
      <c r="C6" s="3" t="s">
        <v>7</v>
      </c>
      <c r="D6" s="3" t="s">
        <v>8</v>
      </c>
    </row>
    <row r="7" spans="1:6" x14ac:dyDescent="0.25">
      <c r="B7" s="3" t="s">
        <v>9</v>
      </c>
      <c r="C7" s="3" t="s">
        <v>10</v>
      </c>
      <c r="D7" s="3" t="s">
        <v>11</v>
      </c>
    </row>
    <row r="8" spans="1:6" x14ac:dyDescent="0.25">
      <c r="B8" s="3" t="s">
        <v>12</v>
      </c>
      <c r="C8" s="3" t="s">
        <v>13</v>
      </c>
      <c r="D8" s="3" t="s">
        <v>11</v>
      </c>
    </row>
    <row r="9" spans="1:6" x14ac:dyDescent="0.25">
      <c r="B9" s="3" t="s">
        <v>14</v>
      </c>
      <c r="C9" s="3" t="s">
        <v>15</v>
      </c>
      <c r="D9" s="3" t="s">
        <v>16</v>
      </c>
    </row>
    <row r="10" spans="1:6" x14ac:dyDescent="0.25">
      <c r="B10" s="3" t="s">
        <v>17</v>
      </c>
      <c r="C10" s="3" t="s">
        <v>18</v>
      </c>
      <c r="D10" s="3" t="s">
        <v>19</v>
      </c>
    </row>
    <row r="11" spans="1:6" x14ac:dyDescent="0.25">
      <c r="B11" s="3" t="s">
        <v>20</v>
      </c>
      <c r="C11" s="3" t="s">
        <v>21</v>
      </c>
      <c r="D11" s="3" t="s">
        <v>19</v>
      </c>
    </row>
    <row r="12" spans="1:6" x14ac:dyDescent="0.25">
      <c r="B12" s="3" t="s">
        <v>22</v>
      </c>
      <c r="C12" s="3" t="s">
        <v>23</v>
      </c>
      <c r="D12" s="3" t="s">
        <v>19</v>
      </c>
    </row>
    <row r="15" spans="1:6" ht="21.75" customHeight="1" x14ac:dyDescent="0.25">
      <c r="A15" s="43" t="s">
        <v>24</v>
      </c>
      <c r="B15" s="43"/>
      <c r="C15" s="43"/>
      <c r="D15" s="43"/>
      <c r="E15" s="43"/>
      <c r="F15" s="43"/>
    </row>
    <row r="16" spans="1:6" ht="25.5" x14ac:dyDescent="0.25">
      <c r="B16" s="4" t="s">
        <v>25</v>
      </c>
      <c r="C16" s="3" t="s">
        <v>26</v>
      </c>
    </row>
    <row r="17" spans="1:6" x14ac:dyDescent="0.25">
      <c r="B17" s="5" t="s">
        <v>27</v>
      </c>
      <c r="C17" s="3" t="s">
        <v>28</v>
      </c>
    </row>
    <row r="18" spans="1:6" x14ac:dyDescent="0.25">
      <c r="B18" s="6" t="s">
        <v>29</v>
      </c>
      <c r="C18" s="3" t="s">
        <v>30</v>
      </c>
    </row>
    <row r="19" spans="1:6" x14ac:dyDescent="0.25">
      <c r="B19" s="7" t="s">
        <v>31</v>
      </c>
      <c r="C19" s="3" t="s">
        <v>32</v>
      </c>
    </row>
    <row r="20" spans="1:6" x14ac:dyDescent="0.25">
      <c r="B20" s="8" t="s">
        <v>33</v>
      </c>
      <c r="C20" s="3" t="s">
        <v>34</v>
      </c>
    </row>
    <row r="21" spans="1:6" x14ac:dyDescent="0.25">
      <c r="B21" s="9" t="s">
        <v>35</v>
      </c>
      <c r="C21" s="3" t="s">
        <v>36</v>
      </c>
    </row>
    <row r="24" spans="1:6" ht="21.75" customHeight="1" x14ac:dyDescent="0.25">
      <c r="A24" s="43" t="s">
        <v>37</v>
      </c>
      <c r="B24" s="43"/>
      <c r="C24" s="43"/>
      <c r="D24" s="43"/>
      <c r="E24" s="43"/>
      <c r="F24" s="43"/>
    </row>
    <row r="25" spans="1:6" ht="31.5" customHeight="1" x14ac:dyDescent="0.25">
      <c r="B25" s="42" t="s">
        <v>38</v>
      </c>
      <c r="C25" s="42"/>
      <c r="D25" s="42"/>
      <c r="E25" s="42"/>
      <c r="F25" s="42"/>
    </row>
    <row r="26" spans="1:6" ht="31.5" customHeight="1" x14ac:dyDescent="0.25">
      <c r="B26" s="42" t="s">
        <v>39</v>
      </c>
      <c r="C26" s="42"/>
      <c r="D26" s="42"/>
      <c r="E26" s="42"/>
      <c r="F26" s="42"/>
    </row>
    <row r="27" spans="1:6" ht="31.5" customHeight="1" x14ac:dyDescent="0.25">
      <c r="B27" s="42" t="s">
        <v>40</v>
      </c>
      <c r="C27" s="42"/>
      <c r="D27" s="42"/>
      <c r="E27" s="42"/>
      <c r="F27" s="42"/>
    </row>
    <row r="28" spans="1:6" ht="31.5" customHeight="1" x14ac:dyDescent="0.25">
      <c r="B28" s="42" t="s">
        <v>41</v>
      </c>
      <c r="C28" s="42"/>
      <c r="D28" s="42"/>
      <c r="E28" s="42"/>
      <c r="F28" s="42"/>
    </row>
    <row r="29" spans="1:6" ht="31.5" customHeight="1" x14ac:dyDescent="0.25">
      <c r="B29" s="42" t="s">
        <v>42</v>
      </c>
      <c r="C29" s="42"/>
      <c r="D29" s="42"/>
      <c r="E29" s="42"/>
      <c r="F29" s="42"/>
    </row>
    <row r="30" spans="1:6" ht="31.5" customHeight="1" x14ac:dyDescent="0.25">
      <c r="B30" s="42" t="s">
        <v>43</v>
      </c>
      <c r="C30" s="42"/>
      <c r="D30" s="42"/>
      <c r="E30" s="42"/>
      <c r="F30" s="42"/>
    </row>
    <row r="32" spans="1:6" ht="21.75" customHeight="1" x14ac:dyDescent="0.25">
      <c r="A32" s="43" t="s">
        <v>44</v>
      </c>
      <c r="B32" s="43"/>
      <c r="C32" s="43"/>
      <c r="D32" s="43"/>
      <c r="E32" s="43"/>
      <c r="F32" s="43"/>
    </row>
    <row r="33" spans="2:6" ht="27.75" customHeight="1" x14ac:dyDescent="0.25">
      <c r="B33" s="42" t="s">
        <v>45</v>
      </c>
      <c r="C33" s="42"/>
      <c r="D33" s="42"/>
      <c r="E33" s="42"/>
      <c r="F33" s="42"/>
    </row>
    <row r="34" spans="2:6" ht="27.75" customHeight="1" x14ac:dyDescent="0.25">
      <c r="B34" s="42" t="s">
        <v>46</v>
      </c>
      <c r="C34" s="42"/>
      <c r="D34" s="42"/>
      <c r="E34" s="42"/>
      <c r="F34" s="42"/>
    </row>
    <row r="35" spans="2:6" ht="27.75" customHeight="1" x14ac:dyDescent="0.25">
      <c r="B35" s="42" t="s">
        <v>47</v>
      </c>
      <c r="C35" s="42"/>
      <c r="D35" s="42"/>
      <c r="E35" s="42"/>
      <c r="F35" s="42"/>
    </row>
    <row r="36" spans="2:6" ht="27.75" customHeight="1" x14ac:dyDescent="0.25">
      <c r="B36" s="42" t="s">
        <v>48</v>
      </c>
      <c r="C36" s="42"/>
      <c r="D36" s="42"/>
      <c r="E36" s="42"/>
      <c r="F36" s="42"/>
    </row>
    <row r="37" spans="2:6" ht="27.75" customHeight="1" x14ac:dyDescent="0.25">
      <c r="B37" s="42" t="s">
        <v>49</v>
      </c>
      <c r="C37" s="42"/>
      <c r="D37" s="42"/>
      <c r="E37" s="42"/>
      <c r="F37" s="42"/>
    </row>
    <row r="38" spans="2:6" ht="27.75" customHeight="1" x14ac:dyDescent="0.25">
      <c r="B38" s="42" t="s">
        <v>50</v>
      </c>
      <c r="C38" s="42"/>
      <c r="D38" s="42"/>
      <c r="E38" s="42"/>
      <c r="F38" s="42"/>
    </row>
  </sheetData>
  <mergeCells count="18">
    <mergeCell ref="A1:F1"/>
    <mergeCell ref="A2:F2"/>
    <mergeCell ref="A4:F4"/>
    <mergeCell ref="A15:F15"/>
    <mergeCell ref="A24:F24"/>
    <mergeCell ref="B25:F25"/>
    <mergeCell ref="B26:F26"/>
    <mergeCell ref="B27:F27"/>
    <mergeCell ref="B28:F28"/>
    <mergeCell ref="B29:F29"/>
    <mergeCell ref="B36:F36"/>
    <mergeCell ref="B37:F37"/>
    <mergeCell ref="B38:F38"/>
    <mergeCell ref="B30:F30"/>
    <mergeCell ref="A32:F32"/>
    <mergeCell ref="B33:F33"/>
    <mergeCell ref="B34:F34"/>
    <mergeCell ref="B35:F35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7"/>
  <sheetViews>
    <sheetView showGridLines="0" tabSelected="1" zoomScaleNormal="100" workbookViewId="0">
      <selection activeCell="D12" sqref="D12"/>
    </sheetView>
  </sheetViews>
  <sheetFormatPr baseColWidth="10" defaultColWidth="8.7109375" defaultRowHeight="15" x14ac:dyDescent="0.25"/>
  <cols>
    <col min="1" max="1" width="3" customWidth="1"/>
    <col min="2" max="2" width="42" customWidth="1"/>
    <col min="3" max="4" width="38" customWidth="1"/>
    <col min="5" max="5" width="15" customWidth="1"/>
  </cols>
  <sheetData>
    <row r="1" spans="1:5" ht="25.5" customHeight="1" x14ac:dyDescent="0.25">
      <c r="A1" s="44" t="s">
        <v>51</v>
      </c>
      <c r="B1" s="44"/>
      <c r="C1" s="44"/>
      <c r="D1" s="44"/>
      <c r="E1" s="44"/>
    </row>
    <row r="3" spans="1:5" ht="21.75" customHeight="1" x14ac:dyDescent="0.25">
      <c r="A3" s="43" t="s">
        <v>52</v>
      </c>
      <c r="B3" s="43"/>
      <c r="C3" s="43"/>
      <c r="D3" s="43"/>
      <c r="E3" s="43"/>
    </row>
    <row r="4" spans="1:5" x14ac:dyDescent="0.25">
      <c r="B4" s="2" t="s">
        <v>53</v>
      </c>
      <c r="C4" s="4" t="s">
        <v>54</v>
      </c>
    </row>
    <row r="5" spans="1:5" x14ac:dyDescent="0.25">
      <c r="B5" s="2" t="s">
        <v>55</v>
      </c>
      <c r="C5" s="4" t="s">
        <v>56</v>
      </c>
    </row>
    <row r="6" spans="1:5" x14ac:dyDescent="0.25">
      <c r="B6" s="2" t="s">
        <v>57</v>
      </c>
      <c r="C6" s="41">
        <v>46023</v>
      </c>
    </row>
    <row r="7" spans="1:5" x14ac:dyDescent="0.25">
      <c r="B7" s="2" t="s">
        <v>58</v>
      </c>
      <c r="C7" s="41">
        <v>46387</v>
      </c>
    </row>
    <row r="8" spans="1:5" x14ac:dyDescent="0.25">
      <c r="B8" s="2" t="s">
        <v>59</v>
      </c>
      <c r="C8" s="4" t="s">
        <v>202</v>
      </c>
    </row>
    <row r="9" spans="1:5" x14ac:dyDescent="0.25">
      <c r="B9" s="2" t="s">
        <v>60</v>
      </c>
      <c r="C9" s="4" t="s">
        <v>205</v>
      </c>
    </row>
    <row r="10" spans="1:5" x14ac:dyDescent="0.25">
      <c r="B10" s="2" t="s">
        <v>61</v>
      </c>
      <c r="C10" s="4" t="s">
        <v>206</v>
      </c>
    </row>
    <row r="11" spans="1:5" x14ac:dyDescent="0.25">
      <c r="B11" s="2" t="s">
        <v>62</v>
      </c>
      <c r="C11" s="4" t="s">
        <v>63</v>
      </c>
    </row>
    <row r="12" spans="1:5" ht="25.5" x14ac:dyDescent="0.25">
      <c r="B12" s="2" t="s">
        <v>64</v>
      </c>
      <c r="C12" s="4" t="s">
        <v>207</v>
      </c>
    </row>
    <row r="13" spans="1:5" x14ac:dyDescent="0.25">
      <c r="B13" s="2" t="s">
        <v>65</v>
      </c>
      <c r="C13" s="4" t="s">
        <v>203</v>
      </c>
    </row>
    <row r="14" spans="1:5" ht="51" x14ac:dyDescent="0.25">
      <c r="B14" s="2" t="s">
        <v>66</v>
      </c>
      <c r="C14" s="4" t="s">
        <v>204</v>
      </c>
    </row>
    <row r="15" spans="1:5" x14ac:dyDescent="0.25">
      <c r="B15" s="2" t="s">
        <v>67</v>
      </c>
      <c r="C15" s="10">
        <v>170972</v>
      </c>
    </row>
    <row r="16" spans="1:5" x14ac:dyDescent="0.25">
      <c r="B16" s="2" t="s">
        <v>68</v>
      </c>
      <c r="C16" s="4" t="s">
        <v>201</v>
      </c>
    </row>
    <row r="17" spans="1:5" x14ac:dyDescent="0.25">
      <c r="B17" s="2" t="s">
        <v>69</v>
      </c>
      <c r="C17" s="4" t="s">
        <v>70</v>
      </c>
    </row>
    <row r="19" spans="1:5" ht="21.75" customHeight="1" x14ac:dyDescent="0.25">
      <c r="A19" s="43" t="s">
        <v>71</v>
      </c>
      <c r="B19" s="43"/>
      <c r="C19" s="43"/>
      <c r="D19" s="43"/>
      <c r="E19" s="43"/>
    </row>
    <row r="20" spans="1:5" ht="27.75" customHeight="1" x14ac:dyDescent="0.25">
      <c r="B20" s="2" t="s">
        <v>72</v>
      </c>
      <c r="C20" s="11">
        <v>3419269425.3278794</v>
      </c>
      <c r="D20" s="12" t="s">
        <v>73</v>
      </c>
    </row>
    <row r="21" spans="1:5" ht="27.75" customHeight="1" x14ac:dyDescent="0.25">
      <c r="B21" s="2" t="s">
        <v>74</v>
      </c>
      <c r="C21" s="1">
        <f>IF(C20&gt;0,C20/12,0)</f>
        <v>284939118.77732331</v>
      </c>
      <c r="D21" s="12" t="s">
        <v>75</v>
      </c>
    </row>
    <row r="22" spans="1:5" ht="27.75" customHeight="1" x14ac:dyDescent="0.25">
      <c r="B22" s="2" t="s">
        <v>76</v>
      </c>
      <c r="C22" s="13" t="s">
        <v>77</v>
      </c>
      <c r="D22" s="12" t="s">
        <v>78</v>
      </c>
    </row>
    <row r="23" spans="1:5" ht="27.75" customHeight="1" x14ac:dyDescent="0.25">
      <c r="B23" s="2" t="s">
        <v>79</v>
      </c>
      <c r="C23" s="14">
        <v>0</v>
      </c>
      <c r="D23" s="12" t="s">
        <v>80</v>
      </c>
    </row>
    <row r="24" spans="1:5" ht="27.75" customHeight="1" x14ac:dyDescent="0.25">
      <c r="B24" s="2" t="s">
        <v>81</v>
      </c>
      <c r="C24" s="11">
        <v>0</v>
      </c>
      <c r="D24" s="12" t="s">
        <v>82</v>
      </c>
    </row>
    <row r="25" spans="1:5" ht="27.75" customHeight="1" x14ac:dyDescent="0.25">
      <c r="B25" s="2" t="s">
        <v>83</v>
      </c>
      <c r="C25" s="1">
        <f>IF(C22="SÍ", C21*(C23-1)+C24*(12-C23+1), C20)</f>
        <v>3419269425.3278794</v>
      </c>
      <c r="D25" s="12" t="s">
        <v>84</v>
      </c>
    </row>
    <row r="26" spans="1:5" ht="27.75" customHeight="1" x14ac:dyDescent="0.25">
      <c r="B26" s="2" t="s">
        <v>85</v>
      </c>
      <c r="C26" s="15">
        <v>0.9</v>
      </c>
      <c r="D26" s="12" t="s">
        <v>86</v>
      </c>
    </row>
    <row r="27" spans="1:5" ht="27.75" customHeight="1" x14ac:dyDescent="0.25">
      <c r="B27" s="2" t="s">
        <v>87</v>
      </c>
      <c r="C27" s="15">
        <v>1.1000000000000001</v>
      </c>
      <c r="D27" s="12" t="s">
        <v>88</v>
      </c>
    </row>
    <row r="28" spans="1:5" ht="27.75" customHeight="1" x14ac:dyDescent="0.25">
      <c r="B28" s="2" t="s">
        <v>89</v>
      </c>
      <c r="C28" s="15">
        <v>0.5</v>
      </c>
      <c r="D28" s="12" t="s">
        <v>90</v>
      </c>
    </row>
    <row r="29" spans="1:5" ht="27.75" customHeight="1" x14ac:dyDescent="0.25">
      <c r="B29" s="2" t="s">
        <v>91</v>
      </c>
      <c r="C29" s="1">
        <f>C25*C26</f>
        <v>3077342482.7950916</v>
      </c>
      <c r="D29" s="12" t="s">
        <v>92</v>
      </c>
    </row>
    <row r="30" spans="1:5" ht="27.75" customHeight="1" x14ac:dyDescent="0.25">
      <c r="B30" s="2" t="s">
        <v>93</v>
      </c>
      <c r="C30" s="1">
        <f>C25*C27</f>
        <v>3761196367.8606677</v>
      </c>
      <c r="D30" s="12" t="s">
        <v>92</v>
      </c>
    </row>
    <row r="32" spans="1:5" ht="21.75" customHeight="1" x14ac:dyDescent="0.25">
      <c r="A32" s="43" t="s">
        <v>94</v>
      </c>
      <c r="B32" s="43"/>
      <c r="C32" s="43"/>
      <c r="D32" s="43"/>
      <c r="E32" s="43"/>
    </row>
    <row r="33" spans="2:3" ht="25.5" x14ac:dyDescent="0.25">
      <c r="B33" s="3" t="s">
        <v>95</v>
      </c>
      <c r="C33" s="16" t="s">
        <v>96</v>
      </c>
    </row>
    <row r="34" spans="2:3" ht="25.5" x14ac:dyDescent="0.25">
      <c r="B34" s="3" t="s">
        <v>97</v>
      </c>
      <c r="C34" s="16" t="s">
        <v>98</v>
      </c>
    </row>
    <row r="35" spans="2:3" x14ac:dyDescent="0.25">
      <c r="B35" s="3" t="s">
        <v>99</v>
      </c>
      <c r="C35" s="16" t="s">
        <v>100</v>
      </c>
    </row>
    <row r="36" spans="2:3" x14ac:dyDescent="0.25">
      <c r="B36" s="3" t="s">
        <v>101</v>
      </c>
      <c r="C36" s="16" t="s">
        <v>100</v>
      </c>
    </row>
    <row r="37" spans="2:3" x14ac:dyDescent="0.25">
      <c r="B37" s="3" t="s">
        <v>102</v>
      </c>
      <c r="C37" s="16" t="s">
        <v>100</v>
      </c>
    </row>
  </sheetData>
  <mergeCells count="4">
    <mergeCell ref="A1:E1"/>
    <mergeCell ref="A3:E3"/>
    <mergeCell ref="A19:E19"/>
    <mergeCell ref="A32:E32"/>
  </mergeCells>
  <dataValidations count="1">
    <dataValidation type="list" allowBlank="1" sqref="C17 C22" xr:uid="{00000000-0002-0000-0100-000000000000}">
      <formula1>"SÍ,NO"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1"/>
  <sheetViews>
    <sheetView showGridLines="0" zoomScaleNormal="100" workbookViewId="0">
      <selection activeCell="R18" sqref="R18"/>
    </sheetView>
  </sheetViews>
  <sheetFormatPr baseColWidth="10" defaultColWidth="8.7109375" defaultRowHeight="15" x14ac:dyDescent="0.25"/>
  <cols>
    <col min="1" max="1" width="3" customWidth="1"/>
    <col min="2" max="2" width="12" customWidth="1"/>
    <col min="3" max="3" width="45" customWidth="1"/>
    <col min="4" max="5" width="15" customWidth="1"/>
    <col min="6" max="8" width="18" customWidth="1"/>
  </cols>
  <sheetData>
    <row r="1" spans="1:9" ht="25.5" customHeight="1" x14ac:dyDescent="0.25">
      <c r="A1" s="44" t="s">
        <v>103</v>
      </c>
      <c r="B1" s="44"/>
      <c r="C1" s="44"/>
      <c r="D1" s="44"/>
      <c r="E1" s="44"/>
      <c r="F1" s="44"/>
      <c r="G1" s="44"/>
      <c r="H1" s="44"/>
    </row>
    <row r="2" spans="1:9" ht="15" customHeight="1" x14ac:dyDescent="0.25">
      <c r="B2" s="47" t="s">
        <v>104</v>
      </c>
      <c r="C2" s="47"/>
      <c r="D2" s="47"/>
      <c r="E2" s="47"/>
      <c r="F2" s="47"/>
      <c r="G2" s="47"/>
      <c r="H2" s="47"/>
    </row>
    <row r="4" spans="1:9" ht="36" customHeight="1" x14ac:dyDescent="0.25">
      <c r="B4" s="17" t="s">
        <v>105</v>
      </c>
      <c r="C4" s="17" t="s">
        <v>106</v>
      </c>
      <c r="D4" s="17" t="s">
        <v>107</v>
      </c>
      <c r="E4" s="17" t="s">
        <v>108</v>
      </c>
      <c r="F4" s="17" t="s">
        <v>109</v>
      </c>
      <c r="G4" s="17" t="s">
        <v>110</v>
      </c>
      <c r="H4" s="17" t="s">
        <v>111</v>
      </c>
      <c r="I4" s="17" t="s">
        <v>112</v>
      </c>
    </row>
    <row r="5" spans="1:9" x14ac:dyDescent="0.25">
      <c r="B5" s="18">
        <v>1</v>
      </c>
      <c r="C5" s="4"/>
      <c r="D5" s="4"/>
      <c r="E5" s="19">
        <v>0</v>
      </c>
      <c r="F5" s="20">
        <v>0</v>
      </c>
      <c r="G5" s="21">
        <f t="shared" ref="G5:G24" si="0">E5*F5</f>
        <v>0</v>
      </c>
      <c r="H5" s="21">
        <f t="shared" ref="H5:H24" si="1">G5/12</f>
        <v>0</v>
      </c>
      <c r="I5" s="22">
        <f t="shared" ref="I5:I24" si="2">IF($G$25&gt;0,G5/$G$25,0)</f>
        <v>0</v>
      </c>
    </row>
    <row r="6" spans="1:9" x14ac:dyDescent="0.25">
      <c r="B6" s="18">
        <v>2</v>
      </c>
      <c r="C6" s="4"/>
      <c r="D6" s="4"/>
      <c r="E6" s="19">
        <v>0</v>
      </c>
      <c r="F6" s="20">
        <v>0</v>
      </c>
      <c r="G6" s="21">
        <f t="shared" si="0"/>
        <v>0</v>
      </c>
      <c r="H6" s="21">
        <f t="shared" si="1"/>
        <v>0</v>
      </c>
      <c r="I6" s="22">
        <f t="shared" si="2"/>
        <v>0</v>
      </c>
    </row>
    <row r="7" spans="1:9" x14ac:dyDescent="0.25">
      <c r="B7" s="18">
        <v>3</v>
      </c>
      <c r="C7" s="4"/>
      <c r="D7" s="4"/>
      <c r="E7" s="19">
        <v>0</v>
      </c>
      <c r="F7" s="20">
        <v>0</v>
      </c>
      <c r="G7" s="21">
        <f t="shared" si="0"/>
        <v>0</v>
      </c>
      <c r="H7" s="21">
        <f t="shared" si="1"/>
        <v>0</v>
      </c>
      <c r="I7" s="22">
        <f t="shared" si="2"/>
        <v>0</v>
      </c>
    </row>
    <row r="8" spans="1:9" x14ac:dyDescent="0.25">
      <c r="B8" s="18">
        <v>4</v>
      </c>
      <c r="C8" s="4"/>
      <c r="D8" s="4"/>
      <c r="E8" s="19">
        <v>0</v>
      </c>
      <c r="F8" s="20">
        <v>0</v>
      </c>
      <c r="G8" s="21">
        <f t="shared" si="0"/>
        <v>0</v>
      </c>
      <c r="H8" s="21">
        <f t="shared" si="1"/>
        <v>0</v>
      </c>
      <c r="I8" s="22">
        <f t="shared" si="2"/>
        <v>0</v>
      </c>
    </row>
    <row r="9" spans="1:9" x14ac:dyDescent="0.25">
      <c r="B9" s="18">
        <v>5</v>
      </c>
      <c r="C9" s="4"/>
      <c r="D9" s="4"/>
      <c r="E9" s="19">
        <v>0</v>
      </c>
      <c r="F9" s="20">
        <v>0</v>
      </c>
      <c r="G9" s="21">
        <f t="shared" si="0"/>
        <v>0</v>
      </c>
      <c r="H9" s="21">
        <f t="shared" si="1"/>
        <v>0</v>
      </c>
      <c r="I9" s="22">
        <f t="shared" si="2"/>
        <v>0</v>
      </c>
    </row>
    <row r="10" spans="1:9" x14ac:dyDescent="0.25">
      <c r="B10" s="18">
        <v>6</v>
      </c>
      <c r="C10" s="4"/>
      <c r="D10" s="4"/>
      <c r="E10" s="19">
        <v>0</v>
      </c>
      <c r="F10" s="20">
        <v>0</v>
      </c>
      <c r="G10" s="21">
        <f t="shared" si="0"/>
        <v>0</v>
      </c>
      <c r="H10" s="21">
        <f t="shared" si="1"/>
        <v>0</v>
      </c>
      <c r="I10" s="22">
        <f t="shared" si="2"/>
        <v>0</v>
      </c>
    </row>
    <row r="11" spans="1:9" x14ac:dyDescent="0.25">
      <c r="B11" s="18">
        <v>7</v>
      </c>
      <c r="C11" s="4"/>
      <c r="D11" s="4"/>
      <c r="E11" s="19">
        <v>0</v>
      </c>
      <c r="F11" s="20">
        <v>0</v>
      </c>
      <c r="G11" s="21">
        <f t="shared" si="0"/>
        <v>0</v>
      </c>
      <c r="H11" s="21">
        <f t="shared" si="1"/>
        <v>0</v>
      </c>
      <c r="I11" s="22">
        <f t="shared" si="2"/>
        <v>0</v>
      </c>
    </row>
    <row r="12" spans="1:9" x14ac:dyDescent="0.25">
      <c r="B12" s="18">
        <v>8</v>
      </c>
      <c r="C12" s="4"/>
      <c r="D12" s="4"/>
      <c r="E12" s="19">
        <v>0</v>
      </c>
      <c r="F12" s="20">
        <v>0</v>
      </c>
      <c r="G12" s="21">
        <f t="shared" si="0"/>
        <v>0</v>
      </c>
      <c r="H12" s="21">
        <f t="shared" si="1"/>
        <v>0</v>
      </c>
      <c r="I12" s="22">
        <f t="shared" si="2"/>
        <v>0</v>
      </c>
    </row>
    <row r="13" spans="1:9" x14ac:dyDescent="0.25">
      <c r="B13" s="18">
        <v>9</v>
      </c>
      <c r="C13" s="4"/>
      <c r="D13" s="4"/>
      <c r="E13" s="19">
        <v>0</v>
      </c>
      <c r="F13" s="20">
        <v>0</v>
      </c>
      <c r="G13" s="21">
        <f t="shared" si="0"/>
        <v>0</v>
      </c>
      <c r="H13" s="21">
        <f t="shared" si="1"/>
        <v>0</v>
      </c>
      <c r="I13" s="22">
        <f t="shared" si="2"/>
        <v>0</v>
      </c>
    </row>
    <row r="14" spans="1:9" x14ac:dyDescent="0.25">
      <c r="B14" s="18">
        <v>10</v>
      </c>
      <c r="C14" s="4"/>
      <c r="D14" s="4"/>
      <c r="E14" s="19">
        <v>0</v>
      </c>
      <c r="F14" s="20">
        <v>0</v>
      </c>
      <c r="G14" s="21">
        <f t="shared" si="0"/>
        <v>0</v>
      </c>
      <c r="H14" s="21">
        <f t="shared" si="1"/>
        <v>0</v>
      </c>
      <c r="I14" s="22">
        <f t="shared" si="2"/>
        <v>0</v>
      </c>
    </row>
    <row r="15" spans="1:9" x14ac:dyDescent="0.25">
      <c r="B15" s="18">
        <v>11</v>
      </c>
      <c r="C15" s="4"/>
      <c r="D15" s="4"/>
      <c r="E15" s="19">
        <v>0</v>
      </c>
      <c r="F15" s="20">
        <v>0</v>
      </c>
      <c r="G15" s="21">
        <f t="shared" si="0"/>
        <v>0</v>
      </c>
      <c r="H15" s="21">
        <f t="shared" si="1"/>
        <v>0</v>
      </c>
      <c r="I15" s="22">
        <f t="shared" si="2"/>
        <v>0</v>
      </c>
    </row>
    <row r="16" spans="1:9" x14ac:dyDescent="0.25">
      <c r="B16" s="18">
        <v>12</v>
      </c>
      <c r="C16" s="4"/>
      <c r="D16" s="4"/>
      <c r="E16" s="19">
        <v>0</v>
      </c>
      <c r="F16" s="20">
        <v>0</v>
      </c>
      <c r="G16" s="21">
        <f t="shared" si="0"/>
        <v>0</v>
      </c>
      <c r="H16" s="21">
        <f t="shared" si="1"/>
        <v>0</v>
      </c>
      <c r="I16" s="22">
        <f t="shared" si="2"/>
        <v>0</v>
      </c>
    </row>
    <row r="17" spans="2:9" x14ac:dyDescent="0.25">
      <c r="B17" s="18">
        <v>13</v>
      </c>
      <c r="C17" s="4"/>
      <c r="D17" s="4"/>
      <c r="E17" s="19">
        <v>0</v>
      </c>
      <c r="F17" s="20">
        <v>0</v>
      </c>
      <c r="G17" s="21">
        <f t="shared" si="0"/>
        <v>0</v>
      </c>
      <c r="H17" s="21">
        <f t="shared" si="1"/>
        <v>0</v>
      </c>
      <c r="I17" s="22">
        <f t="shared" si="2"/>
        <v>0</v>
      </c>
    </row>
    <row r="18" spans="2:9" x14ac:dyDescent="0.25">
      <c r="B18" s="18">
        <v>14</v>
      </c>
      <c r="C18" s="4"/>
      <c r="D18" s="4"/>
      <c r="E18" s="19">
        <v>0</v>
      </c>
      <c r="F18" s="20">
        <v>0</v>
      </c>
      <c r="G18" s="21">
        <f t="shared" si="0"/>
        <v>0</v>
      </c>
      <c r="H18" s="21">
        <f t="shared" si="1"/>
        <v>0</v>
      </c>
      <c r="I18" s="22">
        <f t="shared" si="2"/>
        <v>0</v>
      </c>
    </row>
    <row r="19" spans="2:9" x14ac:dyDescent="0.25">
      <c r="B19" s="18">
        <v>15</v>
      </c>
      <c r="C19" s="4"/>
      <c r="D19" s="4"/>
      <c r="E19" s="19">
        <v>0</v>
      </c>
      <c r="F19" s="20">
        <v>0</v>
      </c>
      <c r="G19" s="21">
        <f t="shared" si="0"/>
        <v>0</v>
      </c>
      <c r="H19" s="21">
        <f t="shared" si="1"/>
        <v>0</v>
      </c>
      <c r="I19" s="22">
        <f t="shared" si="2"/>
        <v>0</v>
      </c>
    </row>
    <row r="20" spans="2:9" x14ac:dyDescent="0.25">
      <c r="B20" s="18">
        <v>16</v>
      </c>
      <c r="C20" s="4"/>
      <c r="D20" s="4"/>
      <c r="E20" s="19">
        <v>0</v>
      </c>
      <c r="F20" s="20">
        <v>0</v>
      </c>
      <c r="G20" s="21">
        <f t="shared" si="0"/>
        <v>0</v>
      </c>
      <c r="H20" s="21">
        <f t="shared" si="1"/>
        <v>0</v>
      </c>
      <c r="I20" s="22">
        <f t="shared" si="2"/>
        <v>0</v>
      </c>
    </row>
    <row r="21" spans="2:9" x14ac:dyDescent="0.25">
      <c r="B21" s="18">
        <v>17</v>
      </c>
      <c r="C21" s="4"/>
      <c r="D21" s="4"/>
      <c r="E21" s="19">
        <v>0</v>
      </c>
      <c r="F21" s="20">
        <v>0</v>
      </c>
      <c r="G21" s="21">
        <f t="shared" si="0"/>
        <v>0</v>
      </c>
      <c r="H21" s="21">
        <f t="shared" si="1"/>
        <v>0</v>
      </c>
      <c r="I21" s="22">
        <f t="shared" si="2"/>
        <v>0</v>
      </c>
    </row>
    <row r="22" spans="2:9" x14ac:dyDescent="0.25">
      <c r="B22" s="18">
        <v>18</v>
      </c>
      <c r="C22" s="4"/>
      <c r="D22" s="4"/>
      <c r="E22" s="19">
        <v>0</v>
      </c>
      <c r="F22" s="20">
        <v>0</v>
      </c>
      <c r="G22" s="21">
        <f t="shared" si="0"/>
        <v>0</v>
      </c>
      <c r="H22" s="21">
        <f t="shared" si="1"/>
        <v>0</v>
      </c>
      <c r="I22" s="22">
        <f t="shared" si="2"/>
        <v>0</v>
      </c>
    </row>
    <row r="23" spans="2:9" x14ac:dyDescent="0.25">
      <c r="B23" s="18">
        <v>19</v>
      </c>
      <c r="C23" s="4"/>
      <c r="D23" s="4"/>
      <c r="E23" s="19">
        <v>0</v>
      </c>
      <c r="F23" s="20">
        <v>0</v>
      </c>
      <c r="G23" s="21">
        <f t="shared" si="0"/>
        <v>0</v>
      </c>
      <c r="H23" s="21">
        <f t="shared" si="1"/>
        <v>0</v>
      </c>
      <c r="I23" s="22">
        <f t="shared" si="2"/>
        <v>0</v>
      </c>
    </row>
    <row r="24" spans="2:9" x14ac:dyDescent="0.25">
      <c r="B24" s="18">
        <v>20</v>
      </c>
      <c r="C24" s="4"/>
      <c r="D24" s="4"/>
      <c r="E24" s="19">
        <v>0</v>
      </c>
      <c r="F24" s="20">
        <v>0</v>
      </c>
      <c r="G24" s="21">
        <f t="shared" si="0"/>
        <v>0</v>
      </c>
      <c r="H24" s="21">
        <f t="shared" si="1"/>
        <v>0</v>
      </c>
      <c r="I24" s="22">
        <f t="shared" si="2"/>
        <v>0</v>
      </c>
    </row>
    <row r="25" spans="2:9" x14ac:dyDescent="0.25">
      <c r="B25" s="23"/>
      <c r="C25" s="24" t="s">
        <v>113</v>
      </c>
      <c r="D25" s="25"/>
      <c r="E25" s="26">
        <f>SUM(E5:E24)</f>
        <v>0</v>
      </c>
      <c r="F25" s="25"/>
      <c r="G25" s="27">
        <f>SUM(G5:G24)</f>
        <v>0</v>
      </c>
      <c r="H25" s="27">
        <f>SUM(H5:H24)</f>
        <v>0</v>
      </c>
      <c r="I25" s="28">
        <f>IF(G25&gt;0,SUM(I5:I24),0)</f>
        <v>0</v>
      </c>
    </row>
    <row r="28" spans="2:9" ht="21.75" customHeight="1" x14ac:dyDescent="0.25">
      <c r="B28" s="48" t="s">
        <v>114</v>
      </c>
      <c r="C28" s="48"/>
      <c r="D28" s="48"/>
      <c r="E28" s="48"/>
      <c r="F28" s="48"/>
      <c r="G28" s="48"/>
      <c r="H28" s="48"/>
      <c r="I28" s="48"/>
    </row>
    <row r="29" spans="2:9" x14ac:dyDescent="0.25">
      <c r="B29" s="46" t="s">
        <v>115</v>
      </c>
      <c r="C29" s="46"/>
      <c r="D29" s="46"/>
      <c r="E29" s="46"/>
      <c r="F29" s="46"/>
      <c r="G29" s="46"/>
      <c r="H29" s="21">
        <f>G25</f>
        <v>0</v>
      </c>
    </row>
    <row r="30" spans="2:9" x14ac:dyDescent="0.25">
      <c r="B30" s="46" t="s">
        <v>116</v>
      </c>
      <c r="C30" s="46"/>
      <c r="D30" s="46"/>
      <c r="E30" s="46"/>
      <c r="F30" s="46"/>
      <c r="G30" s="46"/>
      <c r="H30" s="29">
        <f>'02_Datos_Contrato'!C25</f>
        <v>3419269425.3278794</v>
      </c>
    </row>
    <row r="31" spans="2:9" x14ac:dyDescent="0.25">
      <c r="B31" s="46" t="s">
        <v>117</v>
      </c>
      <c r="C31" s="46"/>
      <c r="D31" s="46"/>
      <c r="E31" s="46"/>
      <c r="F31" s="46"/>
      <c r="G31" s="46"/>
      <c r="H31" s="21">
        <f>G25-'02_Datos_Contrato'!C25</f>
        <v>-3419269425.3278794</v>
      </c>
    </row>
  </sheetData>
  <mergeCells count="6">
    <mergeCell ref="B31:G31"/>
    <mergeCell ref="A1:H1"/>
    <mergeCell ref="B2:H2"/>
    <mergeCell ref="B28:I28"/>
    <mergeCell ref="B29:G29"/>
    <mergeCell ref="B30:G30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7"/>
  <sheetViews>
    <sheetView showGridLines="0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I24" sqref="I24"/>
    </sheetView>
  </sheetViews>
  <sheetFormatPr baseColWidth="10" defaultColWidth="8.7109375" defaultRowHeight="15" x14ac:dyDescent="0.25"/>
  <cols>
    <col min="1" max="1" width="3" customWidth="1"/>
    <col min="2" max="2" width="5" customWidth="1"/>
    <col min="3" max="3" width="14" customWidth="1"/>
    <col min="4" max="6" width="20" customWidth="1"/>
    <col min="7" max="7" width="15" customWidth="1"/>
    <col min="8" max="9" width="20" customWidth="1"/>
    <col min="10" max="10" width="40" customWidth="1"/>
  </cols>
  <sheetData>
    <row r="1" spans="1:10" ht="25.5" customHeight="1" x14ac:dyDescent="0.25">
      <c r="A1" s="44" t="s">
        <v>118</v>
      </c>
      <c r="B1" s="44"/>
      <c r="C1" s="44"/>
      <c r="D1" s="44"/>
      <c r="E1" s="44"/>
      <c r="F1" s="44"/>
      <c r="G1" s="44"/>
      <c r="H1" s="44"/>
      <c r="I1" s="44"/>
      <c r="J1" s="44"/>
    </row>
    <row r="2" spans="1:10" x14ac:dyDescent="0.25">
      <c r="B2" s="49" t="s">
        <v>119</v>
      </c>
      <c r="C2" s="49"/>
      <c r="D2" s="49"/>
      <c r="E2" s="49"/>
      <c r="F2" s="49"/>
      <c r="G2" s="49"/>
      <c r="H2" s="49"/>
      <c r="I2" s="49"/>
      <c r="J2" s="49"/>
    </row>
    <row r="4" spans="1:10" ht="36" customHeight="1" x14ac:dyDescent="0.25">
      <c r="B4" s="17" t="s">
        <v>120</v>
      </c>
      <c r="C4" s="17" t="s">
        <v>121</v>
      </c>
      <c r="D4" s="17" t="s">
        <v>122</v>
      </c>
      <c r="E4" s="17" t="s">
        <v>123</v>
      </c>
      <c r="F4" s="17" t="s">
        <v>124</v>
      </c>
      <c r="G4" s="17" t="s">
        <v>125</v>
      </c>
      <c r="H4" s="17" t="s">
        <v>126</v>
      </c>
      <c r="I4" s="17" t="s">
        <v>127</v>
      </c>
      <c r="J4" s="17" t="s">
        <v>128</v>
      </c>
    </row>
    <row r="5" spans="1:10" x14ac:dyDescent="0.25">
      <c r="B5" s="18">
        <v>1</v>
      </c>
      <c r="C5" s="30" t="s">
        <v>129</v>
      </c>
      <c r="D5" s="29">
        <f>IF('02_Datos_Contrato'!C22="SÍ", IF(B5&gt;='02_Datos_Contrato'!C23, '02_Datos_Contrato'!C24, '02_Datos_Contrato'!C21), '02_Datos_Contrato'!C21)</f>
        <v>284939118.77732331</v>
      </c>
      <c r="E5" s="20"/>
      <c r="F5" s="21">
        <f t="shared" ref="F5:F16" si="0">E5-D5</f>
        <v>-284939118.77732331</v>
      </c>
      <c r="G5" s="22">
        <f t="shared" ref="G5:G17" si="1">IF(D5&gt;0,E5/D5,0)</f>
        <v>0</v>
      </c>
      <c r="H5" s="18" t="str">
        <f>IF(E5=0,"Sin registro",IF(G5&lt;'02_Datos_Contrato'!$C$26,"Fuera - subejecución",IF(G5&gt;'02_Datos_Contrato'!$C$27,"Fuera - sobreejecución","Dentro de franja")))</f>
        <v>Sin registro</v>
      </c>
      <c r="I5" s="21">
        <f>SUM($E$5:E5)</f>
        <v>0</v>
      </c>
      <c r="J5" s="4"/>
    </row>
    <row r="6" spans="1:10" x14ac:dyDescent="0.25">
      <c r="B6" s="18">
        <v>2</v>
      </c>
      <c r="C6" s="30" t="s">
        <v>130</v>
      </c>
      <c r="D6" s="29">
        <f>IF('02_Datos_Contrato'!C22="SÍ", IF(B6&gt;='02_Datos_Contrato'!C23, '02_Datos_Contrato'!C24, '02_Datos_Contrato'!C21), '02_Datos_Contrato'!C21)</f>
        <v>284939118.77732331</v>
      </c>
      <c r="E6" s="20"/>
      <c r="F6" s="21">
        <f t="shared" si="0"/>
        <v>-284939118.77732331</v>
      </c>
      <c r="G6" s="22">
        <f t="shared" si="1"/>
        <v>0</v>
      </c>
      <c r="H6" s="18" t="str">
        <f>IF(E6=0,"Sin registro",IF(G6&lt;'02_Datos_Contrato'!$C$26,"Fuera - subejecución",IF(G6&gt;'02_Datos_Contrato'!$C$27,"Fuera - sobreejecución","Dentro de franja")))</f>
        <v>Sin registro</v>
      </c>
      <c r="I6" s="21">
        <f>SUM($E$5:E6)</f>
        <v>0</v>
      </c>
      <c r="J6" s="4"/>
    </row>
    <row r="7" spans="1:10" x14ac:dyDescent="0.25">
      <c r="B7" s="18">
        <v>3</v>
      </c>
      <c r="C7" s="30" t="s">
        <v>131</v>
      </c>
      <c r="D7" s="29">
        <f>IF('02_Datos_Contrato'!C22="SÍ", IF(B7&gt;='02_Datos_Contrato'!C23, '02_Datos_Contrato'!C24, '02_Datos_Contrato'!C21), '02_Datos_Contrato'!C21)</f>
        <v>284939118.77732331</v>
      </c>
      <c r="E7" s="20"/>
      <c r="F7" s="21">
        <f t="shared" si="0"/>
        <v>-284939118.77732331</v>
      </c>
      <c r="G7" s="22">
        <f t="shared" si="1"/>
        <v>0</v>
      </c>
      <c r="H7" s="18" t="str">
        <f>IF(E7=0,"Sin registro",IF(G7&lt;'02_Datos_Contrato'!$C$26,"Fuera - subejecución",IF(G7&gt;'02_Datos_Contrato'!$C$27,"Fuera - sobreejecución","Dentro de franja")))</f>
        <v>Sin registro</v>
      </c>
      <c r="I7" s="21">
        <f>SUM($E$5:E7)</f>
        <v>0</v>
      </c>
      <c r="J7" s="4"/>
    </row>
    <row r="8" spans="1:10" x14ac:dyDescent="0.25">
      <c r="B8" s="18">
        <v>4</v>
      </c>
      <c r="C8" s="30" t="s">
        <v>132</v>
      </c>
      <c r="D8" s="29">
        <f>IF('02_Datos_Contrato'!C22="SÍ", IF(B8&gt;='02_Datos_Contrato'!C23, '02_Datos_Contrato'!C24, '02_Datos_Contrato'!C21), '02_Datos_Contrato'!C21)</f>
        <v>284939118.77732331</v>
      </c>
      <c r="E8" s="20">
        <v>0</v>
      </c>
      <c r="F8" s="21">
        <f t="shared" si="0"/>
        <v>-284939118.77732331</v>
      </c>
      <c r="G8" s="22">
        <f t="shared" si="1"/>
        <v>0</v>
      </c>
      <c r="H8" s="18" t="str">
        <f>IF(E8=0,"Sin registro",IF(G8&lt;'02_Datos_Contrato'!$C$26,"Fuera - subejecución",IF(G8&gt;'02_Datos_Contrato'!$C$27,"Fuera - sobreejecución","Dentro de franja")))</f>
        <v>Sin registro</v>
      </c>
      <c r="I8" s="21">
        <f>SUM($E$5:E8)</f>
        <v>0</v>
      </c>
      <c r="J8" s="4"/>
    </row>
    <row r="9" spans="1:10" x14ac:dyDescent="0.25">
      <c r="B9" s="18">
        <v>5</v>
      </c>
      <c r="C9" s="30" t="s">
        <v>133</v>
      </c>
      <c r="D9" s="29">
        <f>IF('02_Datos_Contrato'!C22="SÍ", IF(B9&gt;='02_Datos_Contrato'!C23, '02_Datos_Contrato'!C24, '02_Datos_Contrato'!C21), '02_Datos_Contrato'!C21)</f>
        <v>284939118.77732331</v>
      </c>
      <c r="E9" s="20">
        <v>0</v>
      </c>
      <c r="F9" s="21">
        <f t="shared" si="0"/>
        <v>-284939118.77732331</v>
      </c>
      <c r="G9" s="22">
        <f t="shared" si="1"/>
        <v>0</v>
      </c>
      <c r="H9" s="18" t="str">
        <f>IF(E9=0,"Sin registro",IF(G9&lt;'02_Datos_Contrato'!$C$26,"Fuera - subejecución",IF(G9&gt;'02_Datos_Contrato'!$C$27,"Fuera - sobreejecución","Dentro de franja")))</f>
        <v>Sin registro</v>
      </c>
      <c r="I9" s="21">
        <f>SUM($E$5:E9)</f>
        <v>0</v>
      </c>
      <c r="J9" s="4"/>
    </row>
    <row r="10" spans="1:10" x14ac:dyDescent="0.25">
      <c r="B10" s="18">
        <v>6</v>
      </c>
      <c r="C10" s="30" t="s">
        <v>134</v>
      </c>
      <c r="D10" s="29">
        <f>IF('02_Datos_Contrato'!C22="SÍ", IF(B10&gt;='02_Datos_Contrato'!C23, '02_Datos_Contrato'!C24, '02_Datos_Contrato'!C21), '02_Datos_Contrato'!C21)</f>
        <v>284939118.77732331</v>
      </c>
      <c r="E10" s="20">
        <v>0</v>
      </c>
      <c r="F10" s="21">
        <f t="shared" si="0"/>
        <v>-284939118.77732331</v>
      </c>
      <c r="G10" s="22">
        <f t="shared" si="1"/>
        <v>0</v>
      </c>
      <c r="H10" s="18" t="str">
        <f>IF(E10=0,"Sin registro",IF(G10&lt;'02_Datos_Contrato'!$C$26,"Fuera - subejecución",IF(G10&gt;'02_Datos_Contrato'!$C$27,"Fuera - sobreejecución","Dentro de franja")))</f>
        <v>Sin registro</v>
      </c>
      <c r="I10" s="21">
        <f>SUM($E$5:E10)</f>
        <v>0</v>
      </c>
      <c r="J10" s="4"/>
    </row>
    <row r="11" spans="1:10" x14ac:dyDescent="0.25">
      <c r="B11" s="18">
        <v>7</v>
      </c>
      <c r="C11" s="30" t="s">
        <v>135</v>
      </c>
      <c r="D11" s="29">
        <f>IF('02_Datos_Contrato'!C22="SÍ", IF(B11&gt;='02_Datos_Contrato'!C23, '02_Datos_Contrato'!C24, '02_Datos_Contrato'!C21), '02_Datos_Contrato'!C21)</f>
        <v>284939118.77732331</v>
      </c>
      <c r="E11" s="20">
        <v>0</v>
      </c>
      <c r="F11" s="21">
        <f t="shared" si="0"/>
        <v>-284939118.77732331</v>
      </c>
      <c r="G11" s="22">
        <f t="shared" si="1"/>
        <v>0</v>
      </c>
      <c r="H11" s="18" t="str">
        <f>IF(E11=0,"Sin registro",IF(G11&lt;'02_Datos_Contrato'!$C$26,"Fuera - subejecución",IF(G11&gt;'02_Datos_Contrato'!$C$27,"Fuera - sobreejecución","Dentro de franja")))</f>
        <v>Sin registro</v>
      </c>
      <c r="I11" s="21">
        <f>SUM($E$5:E11)</f>
        <v>0</v>
      </c>
      <c r="J11" s="4"/>
    </row>
    <row r="12" spans="1:10" x14ac:dyDescent="0.25">
      <c r="B12" s="18">
        <v>8</v>
      </c>
      <c r="C12" s="30" t="s">
        <v>136</v>
      </c>
      <c r="D12" s="29">
        <f>IF('02_Datos_Contrato'!C22="SÍ", IF(B12&gt;='02_Datos_Contrato'!C23, '02_Datos_Contrato'!C24, '02_Datos_Contrato'!C21), '02_Datos_Contrato'!C21)</f>
        <v>284939118.77732331</v>
      </c>
      <c r="E12" s="20">
        <v>0</v>
      </c>
      <c r="F12" s="21">
        <f t="shared" si="0"/>
        <v>-284939118.77732331</v>
      </c>
      <c r="G12" s="22">
        <f t="shared" si="1"/>
        <v>0</v>
      </c>
      <c r="H12" s="18" t="str">
        <f>IF(E12=0,"Sin registro",IF(G12&lt;'02_Datos_Contrato'!$C$26,"Fuera - subejecución",IF(G12&gt;'02_Datos_Contrato'!$C$27,"Fuera - sobreejecución","Dentro de franja")))</f>
        <v>Sin registro</v>
      </c>
      <c r="I12" s="21">
        <f>SUM($E$5:E12)</f>
        <v>0</v>
      </c>
      <c r="J12" s="4"/>
    </row>
    <row r="13" spans="1:10" x14ac:dyDescent="0.25">
      <c r="B13" s="18">
        <v>9</v>
      </c>
      <c r="C13" s="30" t="s">
        <v>137</v>
      </c>
      <c r="D13" s="29">
        <f>IF('02_Datos_Contrato'!C22="SÍ", IF(B13&gt;='02_Datos_Contrato'!C23, '02_Datos_Contrato'!C24, '02_Datos_Contrato'!C21), '02_Datos_Contrato'!C21)</f>
        <v>284939118.77732331</v>
      </c>
      <c r="E13" s="20">
        <v>0</v>
      </c>
      <c r="F13" s="21">
        <f t="shared" si="0"/>
        <v>-284939118.77732331</v>
      </c>
      <c r="G13" s="22">
        <f t="shared" si="1"/>
        <v>0</v>
      </c>
      <c r="H13" s="18" t="str">
        <f>IF(E13=0,"Sin registro",IF(G13&lt;'02_Datos_Contrato'!$C$26,"Fuera - subejecución",IF(G13&gt;'02_Datos_Contrato'!$C$27,"Fuera - sobreejecución","Dentro de franja")))</f>
        <v>Sin registro</v>
      </c>
      <c r="I13" s="21">
        <f>SUM($E$5:E13)</f>
        <v>0</v>
      </c>
      <c r="J13" s="4"/>
    </row>
    <row r="14" spans="1:10" x14ac:dyDescent="0.25">
      <c r="B14" s="18">
        <v>10</v>
      </c>
      <c r="C14" s="30" t="s">
        <v>138</v>
      </c>
      <c r="D14" s="29">
        <f>IF('02_Datos_Contrato'!C22="SÍ", IF(B14&gt;='02_Datos_Contrato'!C23, '02_Datos_Contrato'!C24, '02_Datos_Contrato'!C21), '02_Datos_Contrato'!C21)</f>
        <v>284939118.77732331</v>
      </c>
      <c r="E14" s="20">
        <v>0</v>
      </c>
      <c r="F14" s="21">
        <f t="shared" si="0"/>
        <v>-284939118.77732331</v>
      </c>
      <c r="G14" s="22">
        <f t="shared" si="1"/>
        <v>0</v>
      </c>
      <c r="H14" s="18" t="str">
        <f>IF(E14=0,"Sin registro",IF(G14&lt;'02_Datos_Contrato'!$C$26,"Fuera - subejecución",IF(G14&gt;'02_Datos_Contrato'!$C$27,"Fuera - sobreejecución","Dentro de franja")))</f>
        <v>Sin registro</v>
      </c>
      <c r="I14" s="21">
        <f>SUM($E$5:E14)</f>
        <v>0</v>
      </c>
      <c r="J14" s="4"/>
    </row>
    <row r="15" spans="1:10" x14ac:dyDescent="0.25">
      <c r="B15" s="18">
        <v>11</v>
      </c>
      <c r="C15" s="30" t="s">
        <v>139</v>
      </c>
      <c r="D15" s="29">
        <f>IF('02_Datos_Contrato'!C22="SÍ", IF(B15&gt;='02_Datos_Contrato'!C23, '02_Datos_Contrato'!C24, '02_Datos_Contrato'!C21), '02_Datos_Contrato'!C21)</f>
        <v>284939118.77732331</v>
      </c>
      <c r="E15" s="20">
        <v>0</v>
      </c>
      <c r="F15" s="21">
        <f t="shared" si="0"/>
        <v>-284939118.77732331</v>
      </c>
      <c r="G15" s="22">
        <f t="shared" si="1"/>
        <v>0</v>
      </c>
      <c r="H15" s="18" t="str">
        <f>IF(E15=0,"Sin registro",IF(G15&lt;'02_Datos_Contrato'!$C$26,"Fuera - subejecución",IF(G15&gt;'02_Datos_Contrato'!$C$27,"Fuera - sobreejecución","Dentro de franja")))</f>
        <v>Sin registro</v>
      </c>
      <c r="I15" s="21">
        <f>SUM($E$5:E15)</f>
        <v>0</v>
      </c>
      <c r="J15" s="4"/>
    </row>
    <row r="16" spans="1:10" x14ac:dyDescent="0.25">
      <c r="B16" s="18">
        <v>12</v>
      </c>
      <c r="C16" s="30" t="s">
        <v>140</v>
      </c>
      <c r="D16" s="29">
        <f>IF('02_Datos_Contrato'!C22="SÍ", IF(B16&gt;='02_Datos_Contrato'!C23, '02_Datos_Contrato'!C24, '02_Datos_Contrato'!C21), '02_Datos_Contrato'!C21)</f>
        <v>284939118.77732331</v>
      </c>
      <c r="E16" s="20">
        <v>0</v>
      </c>
      <c r="F16" s="21">
        <f t="shared" si="0"/>
        <v>-284939118.77732331</v>
      </c>
      <c r="G16" s="22">
        <f t="shared" si="1"/>
        <v>0</v>
      </c>
      <c r="H16" s="18" t="str">
        <f>IF(E16=0,"Sin registro",IF(G16&lt;'02_Datos_Contrato'!$C$26,"Fuera - subejecución",IF(G16&gt;'02_Datos_Contrato'!$C$27,"Fuera - sobreejecución","Dentro de franja")))</f>
        <v>Sin registro</v>
      </c>
      <c r="I16" s="21">
        <f>SUM($E$5:E16)</f>
        <v>0</v>
      </c>
      <c r="J16" s="4"/>
    </row>
    <row r="17" spans="2:10" x14ac:dyDescent="0.25">
      <c r="B17" s="25"/>
      <c r="C17" s="24" t="s">
        <v>141</v>
      </c>
      <c r="D17" s="27">
        <f>SUM(D5:D16)</f>
        <v>3419269425.3278794</v>
      </c>
      <c r="E17" s="27">
        <f>SUM(E5:E16)</f>
        <v>0</v>
      </c>
      <c r="F17" s="27">
        <f>SUM(F5:F16)</f>
        <v>-3419269425.3278794</v>
      </c>
      <c r="G17" s="28">
        <f t="shared" si="1"/>
        <v>0</v>
      </c>
      <c r="H17" s="31"/>
      <c r="I17" s="27">
        <f>E17</f>
        <v>0</v>
      </c>
      <c r="J17" s="25"/>
    </row>
  </sheetData>
  <mergeCells count="2">
    <mergeCell ref="A1:J1"/>
    <mergeCell ref="B2:J2"/>
  </mergeCells>
  <conditionalFormatting sqref="H5:H16">
    <cfRule type="expression" dxfId="16" priority="2">
      <formula>$H5="Dentro de franja"</formula>
    </cfRule>
    <cfRule type="expression" dxfId="15" priority="3">
      <formula>$H5="Fuera - subejecución"</formula>
    </cfRule>
    <cfRule type="expression" dxfId="14" priority="4">
      <formula>$H5="Fuera - sobreejecución"</formula>
    </cfRule>
    <cfRule type="expression" dxfId="13" priority="5">
      <formula>$H5="Sin registro"</formula>
    </cfRule>
  </conditionalFormatting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6" id="{00000000-000E-0000-0300-000006000000}">
            <xm:f>AND($G5&gt;0,$G5&lt;'02_Datos_Contrato'!$C$26)</xm:f>
            <x14:dxf>
              <fill>
                <patternFill>
                  <bgColor rgb="FFFFC7CE"/>
                </patternFill>
              </fill>
            </x14:dxf>
          </x14:cfRule>
          <x14:cfRule type="expression" priority="7" id="{00000000-000E-0000-0300-000007000000}">
            <xm:f>$G5&gt;'02_Datos_Contrato'!$C$27</xm:f>
            <x14:dxf>
              <fill>
                <patternFill>
                  <bgColor rgb="FFFFD966"/>
                </patternFill>
              </fill>
            </x14:dxf>
          </x14:cfRule>
          <x14:cfRule type="expression" priority="8" id="{00000000-000E-0000-0300-000008000000}">
            <xm:f>AND($G5&gt;='02_Datos_Contrato'!$C$26,$G5&lt;='02_Datos_Contrato'!$C$27)</xm:f>
            <x14:dxf>
              <fill>
                <patternFill>
                  <bgColor rgb="FFC6EFCE"/>
                </patternFill>
              </fill>
            </x14:dxf>
          </x14:cfRule>
          <xm:sqref>G5:G16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6"/>
  <sheetViews>
    <sheetView showGridLines="0" zoomScaleNormal="100" workbookViewId="0">
      <selection activeCell="I18" sqref="I18"/>
    </sheetView>
  </sheetViews>
  <sheetFormatPr baseColWidth="10" defaultColWidth="8.7109375" defaultRowHeight="15" x14ac:dyDescent="0.25"/>
  <cols>
    <col min="1" max="1" width="3" customWidth="1"/>
    <col min="2" max="2" width="18" customWidth="1"/>
    <col min="3" max="4" width="20" customWidth="1"/>
    <col min="5" max="5" width="18" customWidth="1"/>
    <col min="6" max="7" width="20" customWidth="1"/>
    <col min="8" max="8" width="18" customWidth="1"/>
    <col min="9" max="11" width="20" customWidth="1"/>
  </cols>
  <sheetData>
    <row r="1" spans="1:12" ht="25.5" customHeight="1" x14ac:dyDescent="0.25">
      <c r="A1" s="44" t="s">
        <v>142</v>
      </c>
      <c r="B1" s="44"/>
      <c r="C1" s="44"/>
      <c r="D1" s="44"/>
      <c r="E1" s="44"/>
      <c r="F1" s="44"/>
      <c r="G1" s="44"/>
      <c r="H1" s="44"/>
      <c r="I1" s="44"/>
      <c r="J1" s="44"/>
      <c r="K1" s="44"/>
    </row>
    <row r="3" spans="1:12" ht="39.75" customHeight="1" x14ac:dyDescent="0.25">
      <c r="B3" s="17" t="s">
        <v>143</v>
      </c>
      <c r="C3" s="17" t="s">
        <v>144</v>
      </c>
      <c r="D3" s="17" t="s">
        <v>145</v>
      </c>
      <c r="E3" s="17" t="s">
        <v>146</v>
      </c>
      <c r="F3" s="17" t="s">
        <v>125</v>
      </c>
      <c r="G3" s="17" t="s">
        <v>147</v>
      </c>
      <c r="H3" s="17" t="s">
        <v>148</v>
      </c>
      <c r="I3" s="17" t="s">
        <v>149</v>
      </c>
      <c r="J3" s="17" t="s">
        <v>150</v>
      </c>
      <c r="K3" s="17" t="s">
        <v>151</v>
      </c>
      <c r="L3" s="17" t="s">
        <v>152</v>
      </c>
    </row>
    <row r="4" spans="1:12" x14ac:dyDescent="0.25">
      <c r="B4" s="32" t="s">
        <v>153</v>
      </c>
      <c r="C4" s="33" t="s">
        <v>154</v>
      </c>
      <c r="D4" s="29">
        <f>'04_Seguimiento_Mensual'!D5+'04_Seguimiento_Mensual'!D6+'04_Seguimiento_Mensual'!D7</f>
        <v>854817356.33196998</v>
      </c>
      <c r="E4" s="29">
        <f>'04_Seguimiento_Mensual'!E5+'04_Seguimiento_Mensual'!E6+'04_Seguimiento_Mensual'!E7</f>
        <v>0</v>
      </c>
      <c r="F4" s="22">
        <f>IF(D4&gt;0,E4/D4,0)</f>
        <v>0</v>
      </c>
      <c r="G4" s="21">
        <f>D4*'02_Datos_Contrato'!$C$26</f>
        <v>769335620.69877303</v>
      </c>
      <c r="H4" s="21">
        <f>D4*'02_Datos_Contrato'!$C$27</f>
        <v>940299091.96516705</v>
      </c>
      <c r="I4" s="18" t="str">
        <f>IF(E4=0,"Sin ejecución",IF(F4&lt;'02_Datos_Contrato'!$C$26,"Fuera - subejecución",IF(F4&gt;'02_Datos_Contrato'!$C$27,"Fuera - sobreejecución","Dentro de franja")))</f>
        <v>Sin ejecución</v>
      </c>
      <c r="J4" s="21">
        <f>IF(I4="Fuera - subejecución",G4-E4,IF(I4="Fuera - sobreejecución",E4-H4,0))</f>
        <v>0</v>
      </c>
      <c r="K4" s="21">
        <f>IF(I4="Fuera - subejecución",J4*'02_Datos_Contrato'!$C$28,0)</f>
        <v>0</v>
      </c>
      <c r="L4" s="21">
        <f>IF(I4="Fuera - sobreejecución",J4*'02_Datos_Contrato'!$C$28,0)</f>
        <v>0</v>
      </c>
    </row>
    <row r="5" spans="1:12" x14ac:dyDescent="0.25">
      <c r="B5" s="32" t="s">
        <v>155</v>
      </c>
      <c r="C5" s="33" t="s">
        <v>156</v>
      </c>
      <c r="D5" s="29">
        <f>'04_Seguimiento_Mensual'!D8+'04_Seguimiento_Mensual'!D9+'04_Seguimiento_Mensual'!D10</f>
        <v>854817356.33196998</v>
      </c>
      <c r="E5" s="29">
        <f>'04_Seguimiento_Mensual'!E8+'04_Seguimiento_Mensual'!E9+'04_Seguimiento_Mensual'!E10</f>
        <v>0</v>
      </c>
      <c r="F5" s="22">
        <f>IF(D5&gt;0,E5/D5,0)</f>
        <v>0</v>
      </c>
      <c r="G5" s="21">
        <f>D5*'02_Datos_Contrato'!$C$26</f>
        <v>769335620.69877303</v>
      </c>
      <c r="H5" s="21">
        <f>D5*'02_Datos_Contrato'!$C$27</f>
        <v>940299091.96516705</v>
      </c>
      <c r="I5" s="18" t="str">
        <f>IF(E5=0,"Sin ejecución",IF(F5&lt;'02_Datos_Contrato'!$C$26,"Fuera - subejecución",IF(F5&gt;'02_Datos_Contrato'!$C$27,"Fuera - sobreejecución","Dentro de franja")))</f>
        <v>Sin ejecución</v>
      </c>
      <c r="J5" s="21">
        <f>IF(I5="Fuera - subejecución",G5-E5,IF(I5="Fuera - sobreejecución",E5-H5,0))</f>
        <v>0</v>
      </c>
      <c r="K5" s="21">
        <f>IF(I5="Fuera - subejecución",J5*'02_Datos_Contrato'!$C$28,0)</f>
        <v>0</v>
      </c>
      <c r="L5" s="21">
        <f>IF(I5="Fuera - sobreejecución",J5*'02_Datos_Contrato'!$C$28,0)</f>
        <v>0</v>
      </c>
    </row>
    <row r="6" spans="1:12" x14ac:dyDescent="0.25">
      <c r="B6" s="32" t="s">
        <v>157</v>
      </c>
      <c r="C6" s="33" t="s">
        <v>158</v>
      </c>
      <c r="D6" s="29">
        <f>'04_Seguimiento_Mensual'!D11+'04_Seguimiento_Mensual'!D12+'04_Seguimiento_Mensual'!D13</f>
        <v>854817356.33196998</v>
      </c>
      <c r="E6" s="29">
        <f>'04_Seguimiento_Mensual'!E11+'04_Seguimiento_Mensual'!E12+'04_Seguimiento_Mensual'!E13</f>
        <v>0</v>
      </c>
      <c r="F6" s="22">
        <f>IF(D6&gt;0,E6/D6,0)</f>
        <v>0</v>
      </c>
      <c r="G6" s="21">
        <f>D6*'02_Datos_Contrato'!$C$26</f>
        <v>769335620.69877303</v>
      </c>
      <c r="H6" s="21">
        <f>D6*'02_Datos_Contrato'!$C$27</f>
        <v>940299091.96516705</v>
      </c>
      <c r="I6" s="18" t="str">
        <f>IF(E6=0,"Sin ejecución",IF(F6&lt;'02_Datos_Contrato'!$C$26,"Fuera - subejecución",IF(F6&gt;'02_Datos_Contrato'!$C$27,"Fuera - sobreejecución","Dentro de franja")))</f>
        <v>Sin ejecución</v>
      </c>
      <c r="J6" s="21">
        <f>IF(I6="Fuera - subejecución",G6-E6,IF(I6="Fuera - sobreejecución",E6-H6,0))</f>
        <v>0</v>
      </c>
      <c r="K6" s="21">
        <f>IF(I6="Fuera - subejecución",J6*'02_Datos_Contrato'!$C$28,0)</f>
        <v>0</v>
      </c>
      <c r="L6" s="21">
        <f>IF(I6="Fuera - sobreejecución",J6*'02_Datos_Contrato'!$C$28,0)</f>
        <v>0</v>
      </c>
    </row>
    <row r="7" spans="1:12" x14ac:dyDescent="0.25">
      <c r="B7" s="32" t="s">
        <v>159</v>
      </c>
      <c r="C7" s="33" t="s">
        <v>160</v>
      </c>
      <c r="D7" s="29">
        <f>'04_Seguimiento_Mensual'!D14+'04_Seguimiento_Mensual'!D15+'04_Seguimiento_Mensual'!D16</f>
        <v>854817356.33196998</v>
      </c>
      <c r="E7" s="29">
        <f>'04_Seguimiento_Mensual'!E14+'04_Seguimiento_Mensual'!E15+'04_Seguimiento_Mensual'!E16</f>
        <v>0</v>
      </c>
      <c r="F7" s="22">
        <f>IF(D7&gt;0,E7/D7,0)</f>
        <v>0</v>
      </c>
      <c r="G7" s="21">
        <f>D7*'02_Datos_Contrato'!$C$26</f>
        <v>769335620.69877303</v>
      </c>
      <c r="H7" s="21">
        <f>D7*'02_Datos_Contrato'!$C$27</f>
        <v>940299091.96516705</v>
      </c>
      <c r="I7" s="18" t="str">
        <f>IF(E7=0,"Sin ejecución",IF(F7&lt;'02_Datos_Contrato'!$C$26,"Fuera - subejecución",IF(F7&gt;'02_Datos_Contrato'!$C$27,"Fuera - sobreejecución","Dentro de franja")))</f>
        <v>Sin ejecución</v>
      </c>
      <c r="J7" s="21">
        <f>IF(I7="Fuera - subejecución",G7-E7,IF(I7="Fuera - sobreejecución",E7-H7,0))</f>
        <v>0</v>
      </c>
      <c r="K7" s="21">
        <f>IF(I7="Fuera - subejecución",J7*'02_Datos_Contrato'!$C$28,0)</f>
        <v>0</v>
      </c>
      <c r="L7" s="21">
        <f>IF(I7="Fuera - sobreejecución",J7*'02_Datos_Contrato'!$C$28,0)</f>
        <v>0</v>
      </c>
    </row>
    <row r="8" spans="1:12" x14ac:dyDescent="0.25">
      <c r="B8" s="31" t="s">
        <v>161</v>
      </c>
      <c r="C8" s="34"/>
      <c r="D8" s="35">
        <f>SUM(D4:D7)</f>
        <v>3419269425.3278799</v>
      </c>
      <c r="E8" s="35">
        <f>SUM(E4:E7)</f>
        <v>0</v>
      </c>
      <c r="F8" s="28">
        <f>IF(D8&gt;0,E8/D8,0)</f>
        <v>0</v>
      </c>
      <c r="G8" s="35">
        <f>SUM(G4:G7)</f>
        <v>3077342482.7950921</v>
      </c>
      <c r="H8" s="35">
        <f>SUM(H4:H7)</f>
        <v>3761196367.8606682</v>
      </c>
      <c r="I8" s="23"/>
      <c r="J8" s="35">
        <f>SUM(J4:J7)</f>
        <v>0</v>
      </c>
      <c r="K8" s="35">
        <f>SUM(K4:K7)</f>
        <v>0</v>
      </c>
      <c r="L8" s="35">
        <f>SUM(L4:L7)</f>
        <v>0</v>
      </c>
    </row>
    <row r="11" spans="1:12" x14ac:dyDescent="0.25">
      <c r="B11" s="48" t="s">
        <v>162</v>
      </c>
      <c r="C11" s="48"/>
      <c r="D11" s="48"/>
      <c r="E11" s="48"/>
      <c r="F11" s="48"/>
      <c r="G11" s="48"/>
      <c r="H11" s="48"/>
      <c r="I11" s="48"/>
      <c r="J11" s="48"/>
      <c r="K11" s="48"/>
      <c r="L11" s="48"/>
    </row>
    <row r="12" spans="1:12" ht="15" customHeight="1" x14ac:dyDescent="0.25">
      <c r="B12" s="50" t="s">
        <v>163</v>
      </c>
      <c r="C12" s="50"/>
      <c r="D12" s="50"/>
      <c r="E12" s="50"/>
      <c r="F12" s="50"/>
      <c r="G12" s="50"/>
      <c r="H12" s="50"/>
      <c r="I12" s="50"/>
      <c r="J12" s="50"/>
      <c r="K12" s="50"/>
      <c r="L12" s="50"/>
    </row>
    <row r="13" spans="1:12" ht="15" customHeight="1" x14ac:dyDescent="0.25">
      <c r="B13" s="50" t="s">
        <v>164</v>
      </c>
      <c r="C13" s="50"/>
      <c r="D13" s="50"/>
      <c r="E13" s="50"/>
      <c r="F13" s="50"/>
      <c r="G13" s="50"/>
      <c r="H13" s="50"/>
      <c r="I13" s="50"/>
      <c r="J13" s="50"/>
      <c r="K13" s="50"/>
      <c r="L13" s="50"/>
    </row>
    <row r="14" spans="1:12" ht="15" customHeight="1" x14ac:dyDescent="0.25">
      <c r="B14" s="50" t="s">
        <v>165</v>
      </c>
      <c r="C14" s="50"/>
      <c r="D14" s="50"/>
      <c r="E14" s="50"/>
      <c r="F14" s="50"/>
      <c r="G14" s="50"/>
      <c r="H14" s="50"/>
      <c r="I14" s="50"/>
      <c r="J14" s="50"/>
      <c r="K14" s="50"/>
      <c r="L14" s="50"/>
    </row>
    <row r="15" spans="1:12" ht="15" customHeight="1" x14ac:dyDescent="0.25">
      <c r="B15" s="50" t="s">
        <v>166</v>
      </c>
      <c r="C15" s="50"/>
      <c r="D15" s="50"/>
      <c r="E15" s="50"/>
      <c r="F15" s="50"/>
      <c r="G15" s="50"/>
      <c r="H15" s="50"/>
      <c r="I15" s="50"/>
      <c r="J15" s="50"/>
      <c r="K15" s="50"/>
      <c r="L15" s="50"/>
    </row>
    <row r="16" spans="1:12" ht="15" customHeight="1" x14ac:dyDescent="0.25">
      <c r="B16" s="50" t="s">
        <v>167</v>
      </c>
      <c r="C16" s="50"/>
      <c r="D16" s="50"/>
      <c r="E16" s="50"/>
      <c r="F16" s="50"/>
      <c r="G16" s="50"/>
      <c r="H16" s="50"/>
      <c r="I16" s="50"/>
      <c r="J16" s="50"/>
      <c r="K16" s="50"/>
      <c r="L16" s="50"/>
    </row>
  </sheetData>
  <mergeCells count="7">
    <mergeCell ref="B15:L15"/>
    <mergeCell ref="B16:L16"/>
    <mergeCell ref="A1:K1"/>
    <mergeCell ref="B11:L11"/>
    <mergeCell ref="B12:L12"/>
    <mergeCell ref="B13:L13"/>
    <mergeCell ref="B14:L14"/>
  </mergeCells>
  <conditionalFormatting sqref="I4:I7">
    <cfRule type="expression" dxfId="12" priority="2">
      <formula>$I4="Dentro de franja"</formula>
    </cfRule>
    <cfRule type="expression" dxfId="11" priority="3">
      <formula>$I4="Fuera - subejecución"</formula>
    </cfRule>
    <cfRule type="expression" dxfId="10" priority="4">
      <formula>$I4="Fuera - sobreejecución"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9"/>
  <sheetViews>
    <sheetView showGridLines="0" zoomScaleNormal="100" workbookViewId="0">
      <selection activeCell="J13" sqref="J13"/>
    </sheetView>
  </sheetViews>
  <sheetFormatPr baseColWidth="10" defaultColWidth="8.7109375" defaultRowHeight="15" x14ac:dyDescent="0.25"/>
  <cols>
    <col min="1" max="1" width="3" customWidth="1"/>
    <col min="2" max="2" width="50" customWidth="1"/>
    <col min="3" max="3" width="25" customWidth="1"/>
    <col min="4" max="4" width="15" customWidth="1"/>
    <col min="5" max="5" width="30" customWidth="1"/>
  </cols>
  <sheetData>
    <row r="1" spans="1:5" ht="25.5" customHeight="1" x14ac:dyDescent="0.25">
      <c r="A1" s="44" t="s">
        <v>168</v>
      </c>
      <c r="B1" s="44"/>
      <c r="C1" s="44"/>
      <c r="D1" s="44"/>
      <c r="E1" s="44"/>
    </row>
    <row r="3" spans="1:5" ht="21.75" customHeight="1" x14ac:dyDescent="0.25">
      <c r="A3" s="43" t="s">
        <v>169</v>
      </c>
      <c r="B3" s="43"/>
      <c r="C3" s="43"/>
      <c r="D3" s="43"/>
      <c r="E3" s="43"/>
    </row>
    <row r="4" spans="1:5" x14ac:dyDescent="0.25">
      <c r="B4" s="36" t="s">
        <v>53</v>
      </c>
      <c r="C4" s="58" t="str">
        <f>'02_Datos_Contrato'!C4</f>
        <v>[Diligencie aquí]</v>
      </c>
      <c r="D4" s="58"/>
      <c r="E4" s="58"/>
    </row>
    <row r="5" spans="1:5" x14ac:dyDescent="0.25">
      <c r="B5" s="36" t="s">
        <v>170</v>
      </c>
      <c r="C5" s="58" t="str">
        <f>'02_Datos_Contrato'!C8</f>
        <v>VITAL SALUD</v>
      </c>
      <c r="D5" s="58"/>
      <c r="E5" s="58"/>
    </row>
    <row r="6" spans="1:5" x14ac:dyDescent="0.25">
      <c r="B6" s="36" t="s">
        <v>171</v>
      </c>
      <c r="C6" s="58" t="str">
        <f>'02_Datos_Contrato'!C12</f>
        <v>SERVICIOS AMBULATORIO Y HOSPITALARIOS DE SALUD MENTAL</v>
      </c>
      <c r="D6" s="58"/>
      <c r="E6" s="58"/>
    </row>
    <row r="7" spans="1:5" x14ac:dyDescent="0.25">
      <c r="B7" s="36" t="s">
        <v>172</v>
      </c>
      <c r="C7" s="58" t="str">
        <f>CONCATENATE('02_Datos_Contrato'!C13," / ",'02_Datos_Contrato'!C14)</f>
        <v>LA GUAJIRA / ALBANIA, BARRANCAS, DIBULLA, DISTRACCION, FONSECA, HATONUECO, MAICAO, MANAURE, SAN JUAN DEL CESAR, RIOHACHA Y URIBIA</v>
      </c>
      <c r="D7" s="58"/>
      <c r="E7" s="58"/>
    </row>
    <row r="8" spans="1:5" x14ac:dyDescent="0.25">
      <c r="B8" s="36" t="s">
        <v>173</v>
      </c>
      <c r="C8" s="58" t="str">
        <f>CONCATENATE(TEXT('02_Datos_Contrato'!C6,"dd/mm/yyyy")," al ",TEXT('02_Datos_Contrato'!C7,"dd/mm/yyyy"))</f>
        <v>01/01/2026 al 31/12/2026</v>
      </c>
      <c r="D8" s="58"/>
      <c r="E8" s="58"/>
    </row>
    <row r="10" spans="1:5" ht="21.75" customHeight="1" x14ac:dyDescent="0.25">
      <c r="A10" s="43" t="s">
        <v>174</v>
      </c>
      <c r="B10" s="43"/>
      <c r="C10" s="43"/>
      <c r="D10" s="43"/>
      <c r="E10" s="43"/>
    </row>
    <row r="11" spans="1:5" x14ac:dyDescent="0.25">
      <c r="B11" s="2" t="s">
        <v>175</v>
      </c>
      <c r="C11" s="55">
        <f>'02_Datos_Contrato'!C20</f>
        <v>3419269425.3278794</v>
      </c>
      <c r="D11" s="55"/>
      <c r="E11" s="55"/>
    </row>
    <row r="12" spans="1:5" x14ac:dyDescent="0.25">
      <c r="B12" s="2" t="s">
        <v>176</v>
      </c>
      <c r="C12" s="55">
        <f>'02_Datos_Contrato'!C25</f>
        <v>3419269425.3278794</v>
      </c>
      <c r="D12" s="55"/>
      <c r="E12" s="55"/>
    </row>
    <row r="13" spans="1:5" x14ac:dyDescent="0.25">
      <c r="B13" s="2" t="s">
        <v>177</v>
      </c>
      <c r="C13" s="55">
        <f>'04_Seguimiento_Mensual'!E17</f>
        <v>0</v>
      </c>
      <c r="D13" s="55"/>
      <c r="E13" s="55"/>
    </row>
    <row r="14" spans="1:5" x14ac:dyDescent="0.25">
      <c r="B14" s="2" t="s">
        <v>178</v>
      </c>
      <c r="C14" s="57">
        <f>IF(C12&gt;0,C13/C12,0)</f>
        <v>0</v>
      </c>
      <c r="D14" s="57"/>
      <c r="E14" s="57"/>
    </row>
    <row r="15" spans="1:5" x14ac:dyDescent="0.25">
      <c r="B15" s="2" t="s">
        <v>179</v>
      </c>
      <c r="C15" s="56">
        <f>C13-C12</f>
        <v>-3419269425.3278794</v>
      </c>
      <c r="D15" s="56"/>
      <c r="E15" s="56"/>
    </row>
    <row r="16" spans="1:5" x14ac:dyDescent="0.25">
      <c r="B16" s="2" t="s">
        <v>180</v>
      </c>
      <c r="C16" s="56">
        <f>'02_Datos_Contrato'!C29</f>
        <v>3077342482.7950916</v>
      </c>
      <c r="D16" s="56"/>
      <c r="E16" s="56"/>
    </row>
    <row r="17" spans="1:5" x14ac:dyDescent="0.25">
      <c r="B17" s="2" t="s">
        <v>181</v>
      </c>
      <c r="C17" s="56">
        <f>'02_Datos_Contrato'!C30</f>
        <v>3761196367.8606677</v>
      </c>
      <c r="D17" s="56"/>
      <c r="E17" s="56"/>
    </row>
    <row r="18" spans="1:5" x14ac:dyDescent="0.25">
      <c r="B18" s="2" t="s">
        <v>182</v>
      </c>
      <c r="C18" s="54" t="str">
        <f>IF(C13=0,"Sin ejecución",IF(C14&lt;'02_Datos_Contrato'!$C$26,"Fuera - subejecución",IF(C14&gt;'02_Datos_Contrato'!$C$27,"Fuera - sobreejecución","Dentro de franja")))</f>
        <v>Sin ejecución</v>
      </c>
      <c r="D18" s="54"/>
      <c r="E18" s="54"/>
    </row>
    <row r="20" spans="1:5" ht="21.75" customHeight="1" x14ac:dyDescent="0.25">
      <c r="A20" s="43" t="s">
        <v>183</v>
      </c>
      <c r="B20" s="43"/>
      <c r="C20" s="43"/>
      <c r="D20" s="43"/>
      <c r="E20" s="43"/>
    </row>
    <row r="21" spans="1:5" ht="25.5" x14ac:dyDescent="0.25">
      <c r="B21" s="2" t="s">
        <v>184</v>
      </c>
      <c r="C21" s="55">
        <f>'05_Seguimiento_Trimestral'!K8</f>
        <v>0</v>
      </c>
      <c r="D21" s="55"/>
      <c r="E21" s="55"/>
    </row>
    <row r="22" spans="1:5" ht="25.5" x14ac:dyDescent="0.25">
      <c r="B22" s="2" t="s">
        <v>185</v>
      </c>
      <c r="C22" s="55">
        <f>'05_Seguimiento_Trimestral'!L8</f>
        <v>0</v>
      </c>
      <c r="D22" s="55"/>
      <c r="E22" s="55"/>
    </row>
    <row r="23" spans="1:5" x14ac:dyDescent="0.25">
      <c r="B23" s="2" t="s">
        <v>186</v>
      </c>
      <c r="C23" s="56">
        <f>C21-C22</f>
        <v>0</v>
      </c>
      <c r="D23" s="56"/>
      <c r="E23" s="56"/>
    </row>
    <row r="24" spans="1:5" x14ac:dyDescent="0.25">
      <c r="B24" s="2" t="s">
        <v>187</v>
      </c>
      <c r="C24" s="51" t="str">
        <f>IF(C23&gt;0,"A favor de DUSAKAWI EPSI",IF(C23&lt;0,"A favor de la IPS","Sin saldo"))</f>
        <v>Sin saldo</v>
      </c>
      <c r="D24" s="51"/>
      <c r="E24" s="51"/>
    </row>
    <row r="26" spans="1:5" ht="21.75" customHeight="1" x14ac:dyDescent="0.25">
      <c r="A26" s="43" t="s">
        <v>188</v>
      </c>
      <c r="B26" s="43"/>
      <c r="C26" s="43"/>
      <c r="D26" s="43"/>
      <c r="E26" s="43"/>
    </row>
    <row r="27" spans="1:5" x14ac:dyDescent="0.25">
      <c r="B27" s="2" t="s">
        <v>189</v>
      </c>
      <c r="C27" s="52">
        <f>IF(C23&lt;0,ABS(C23),0)</f>
        <v>0</v>
      </c>
      <c r="D27" s="52"/>
      <c r="E27" s="52"/>
    </row>
    <row r="28" spans="1:5" x14ac:dyDescent="0.25">
      <c r="B28" s="2" t="s">
        <v>190</v>
      </c>
      <c r="C28" s="52">
        <f>IF(C23&gt;0,C23,0)</f>
        <v>0</v>
      </c>
      <c r="D28" s="52"/>
      <c r="E28" s="52"/>
    </row>
    <row r="29" spans="1:5" ht="45" customHeight="1" x14ac:dyDescent="0.25">
      <c r="B29" s="2" t="s">
        <v>191</v>
      </c>
      <c r="C29" s="53" t="str">
        <f>IF(C18="Dentro de franja","Comportamiento dentro de franja. Sin ajustes al cierre distintos a los ya aplicados trimestralmente.",IF(C18="Fuera - subejecución","Subejecución anual. Aplicar descuento al cierre conforme al modelo de riesgo compartido.",IF(C18="Fuera - sobreejecución","Sobreejecución anual. Aplicar reconocimiento al cierre conforme al modelo de riesgo compartido.","Sin ejecución registrada")))</f>
        <v>Sin ejecución registrada</v>
      </c>
      <c r="D29" s="53"/>
      <c r="E29" s="53"/>
    </row>
  </sheetData>
  <mergeCells count="25">
    <mergeCell ref="A1:E1"/>
    <mergeCell ref="A3:E3"/>
    <mergeCell ref="C4:E4"/>
    <mergeCell ref="C5:E5"/>
    <mergeCell ref="C6:E6"/>
    <mergeCell ref="C7:E7"/>
    <mergeCell ref="C8:E8"/>
    <mergeCell ref="A10:E10"/>
    <mergeCell ref="C11:E11"/>
    <mergeCell ref="C12:E12"/>
    <mergeCell ref="C13:E13"/>
    <mergeCell ref="C14:E14"/>
    <mergeCell ref="C15:E15"/>
    <mergeCell ref="C16:E16"/>
    <mergeCell ref="C17:E17"/>
    <mergeCell ref="C18:E18"/>
    <mergeCell ref="A20:E20"/>
    <mergeCell ref="C21:E21"/>
    <mergeCell ref="C22:E22"/>
    <mergeCell ref="C23:E23"/>
    <mergeCell ref="C24:E24"/>
    <mergeCell ref="A26:E26"/>
    <mergeCell ref="C27:E27"/>
    <mergeCell ref="C28:E28"/>
    <mergeCell ref="C29:E29"/>
  </mergeCells>
  <conditionalFormatting sqref="C18:E18">
    <cfRule type="expression" dxfId="9" priority="2">
      <formula>$C$18="Dentro de franja"</formula>
    </cfRule>
    <cfRule type="expression" dxfId="8" priority="3">
      <formula>$C$18="Fuera - subejecución"</formula>
    </cfRule>
    <cfRule type="expression" dxfId="7" priority="4">
      <formula>$C$18="Fuera - sobreejecución"</formula>
    </cfRule>
  </conditionalFormatting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30"/>
  <sheetViews>
    <sheetView showGridLines="0" zoomScaleNormal="100" workbookViewId="0">
      <selection sqref="A1:F1"/>
    </sheetView>
  </sheetViews>
  <sheetFormatPr baseColWidth="10" defaultColWidth="8.7109375" defaultRowHeight="15" x14ac:dyDescent="0.25"/>
  <cols>
    <col min="1" max="1" width="3" customWidth="1"/>
    <col min="2" max="2" width="16" customWidth="1"/>
    <col min="3" max="4" width="18" customWidth="1"/>
    <col min="5" max="5" width="20" customWidth="1"/>
    <col min="6" max="6" width="50" customWidth="1"/>
  </cols>
  <sheetData>
    <row r="1" spans="1:6" ht="25.5" customHeight="1" x14ac:dyDescent="0.25">
      <c r="A1" s="44" t="s">
        <v>192</v>
      </c>
      <c r="B1" s="44"/>
      <c r="C1" s="44"/>
      <c r="D1" s="44"/>
      <c r="E1" s="44"/>
      <c r="F1" s="44"/>
    </row>
    <row r="3" spans="1:6" ht="21.75" customHeight="1" x14ac:dyDescent="0.25">
      <c r="A3" s="43" t="s">
        <v>193</v>
      </c>
      <c r="B3" s="43"/>
      <c r="C3" s="43"/>
      <c r="D3" s="43"/>
      <c r="E3" s="43"/>
      <c r="F3" s="43"/>
    </row>
    <row r="4" spans="1:6" x14ac:dyDescent="0.25">
      <c r="B4" s="32" t="s">
        <v>121</v>
      </c>
      <c r="C4" s="32" t="s">
        <v>125</v>
      </c>
      <c r="D4" s="32" t="s">
        <v>149</v>
      </c>
      <c r="E4" s="32" t="s">
        <v>124</v>
      </c>
      <c r="F4" s="32" t="s">
        <v>194</v>
      </c>
    </row>
    <row r="5" spans="1:6" ht="27.75" customHeight="1" x14ac:dyDescent="0.25">
      <c r="B5" s="37" t="s">
        <v>129</v>
      </c>
      <c r="C5" s="38">
        <f>'04_Seguimiento_Mensual'!G5</f>
        <v>0</v>
      </c>
      <c r="D5" s="39" t="str">
        <f>'04_Seguimiento_Mensual'!H5</f>
        <v>Sin registro</v>
      </c>
      <c r="E5" s="29">
        <f>'04_Seguimiento_Mensual'!F5</f>
        <v>-284939118.77732331</v>
      </c>
      <c r="F5" s="5" t="str">
        <f t="shared" ref="F5:F16" si="0">IF(D5="Sin registro","Pendiente de diligenciar valor ejecutado.",IF(D5="Dentro de franja","Mantener seguimiento de rutina.",IF(D5="Fuera - subejecución","REVISAR: analizar causas de baja ejecución y activar estrategias de captación y direccionamiento.","REVISAR: analizar causas de sobreejecución, verificar pertinencia clínica y evaluar ajuste de nota técnica.")))</f>
        <v>Pendiente de diligenciar valor ejecutado.</v>
      </c>
    </row>
    <row r="6" spans="1:6" ht="27.75" customHeight="1" x14ac:dyDescent="0.25">
      <c r="B6" s="37" t="s">
        <v>130</v>
      </c>
      <c r="C6" s="38">
        <f>'04_Seguimiento_Mensual'!G6</f>
        <v>0</v>
      </c>
      <c r="D6" s="39" t="str">
        <f>'04_Seguimiento_Mensual'!H6</f>
        <v>Sin registro</v>
      </c>
      <c r="E6" s="29">
        <f>'04_Seguimiento_Mensual'!F6</f>
        <v>-284939118.77732331</v>
      </c>
      <c r="F6" s="5" t="str">
        <f t="shared" si="0"/>
        <v>Pendiente de diligenciar valor ejecutado.</v>
      </c>
    </row>
    <row r="7" spans="1:6" ht="27.75" customHeight="1" x14ac:dyDescent="0.25">
      <c r="B7" s="37" t="s">
        <v>131</v>
      </c>
      <c r="C7" s="38">
        <f>'04_Seguimiento_Mensual'!G7</f>
        <v>0</v>
      </c>
      <c r="D7" s="39" t="str">
        <f>'04_Seguimiento_Mensual'!H7</f>
        <v>Sin registro</v>
      </c>
      <c r="E7" s="29">
        <f>'04_Seguimiento_Mensual'!F7</f>
        <v>-284939118.77732331</v>
      </c>
      <c r="F7" s="5" t="str">
        <f t="shared" si="0"/>
        <v>Pendiente de diligenciar valor ejecutado.</v>
      </c>
    </row>
    <row r="8" spans="1:6" ht="27.75" customHeight="1" x14ac:dyDescent="0.25">
      <c r="B8" s="37" t="s">
        <v>132</v>
      </c>
      <c r="C8" s="38">
        <f>'04_Seguimiento_Mensual'!G8</f>
        <v>0</v>
      </c>
      <c r="D8" s="39" t="str">
        <f>'04_Seguimiento_Mensual'!H8</f>
        <v>Sin registro</v>
      </c>
      <c r="E8" s="29">
        <f>'04_Seguimiento_Mensual'!F8</f>
        <v>-284939118.77732331</v>
      </c>
      <c r="F8" s="5" t="str">
        <f t="shared" si="0"/>
        <v>Pendiente de diligenciar valor ejecutado.</v>
      </c>
    </row>
    <row r="9" spans="1:6" ht="27.75" customHeight="1" x14ac:dyDescent="0.25">
      <c r="B9" s="37" t="s">
        <v>133</v>
      </c>
      <c r="C9" s="38">
        <f>'04_Seguimiento_Mensual'!G9</f>
        <v>0</v>
      </c>
      <c r="D9" s="39" t="str">
        <f>'04_Seguimiento_Mensual'!H9</f>
        <v>Sin registro</v>
      </c>
      <c r="E9" s="29">
        <f>'04_Seguimiento_Mensual'!F9</f>
        <v>-284939118.77732331</v>
      </c>
      <c r="F9" s="5" t="str">
        <f t="shared" si="0"/>
        <v>Pendiente de diligenciar valor ejecutado.</v>
      </c>
    </row>
    <row r="10" spans="1:6" ht="27.75" customHeight="1" x14ac:dyDescent="0.25">
      <c r="B10" s="37" t="s">
        <v>134</v>
      </c>
      <c r="C10" s="38">
        <f>'04_Seguimiento_Mensual'!G10</f>
        <v>0</v>
      </c>
      <c r="D10" s="39" t="str">
        <f>'04_Seguimiento_Mensual'!H10</f>
        <v>Sin registro</v>
      </c>
      <c r="E10" s="29">
        <f>'04_Seguimiento_Mensual'!F10</f>
        <v>-284939118.77732331</v>
      </c>
      <c r="F10" s="5" t="str">
        <f t="shared" si="0"/>
        <v>Pendiente de diligenciar valor ejecutado.</v>
      </c>
    </row>
    <row r="11" spans="1:6" ht="27.75" customHeight="1" x14ac:dyDescent="0.25">
      <c r="B11" s="37" t="s">
        <v>135</v>
      </c>
      <c r="C11" s="38">
        <f>'04_Seguimiento_Mensual'!G11</f>
        <v>0</v>
      </c>
      <c r="D11" s="39" t="str">
        <f>'04_Seguimiento_Mensual'!H11</f>
        <v>Sin registro</v>
      </c>
      <c r="E11" s="29">
        <f>'04_Seguimiento_Mensual'!F11</f>
        <v>-284939118.77732331</v>
      </c>
      <c r="F11" s="5" t="str">
        <f t="shared" si="0"/>
        <v>Pendiente de diligenciar valor ejecutado.</v>
      </c>
    </row>
    <row r="12" spans="1:6" ht="27.75" customHeight="1" x14ac:dyDescent="0.25">
      <c r="B12" s="37" t="s">
        <v>136</v>
      </c>
      <c r="C12" s="38">
        <f>'04_Seguimiento_Mensual'!G12</f>
        <v>0</v>
      </c>
      <c r="D12" s="39" t="str">
        <f>'04_Seguimiento_Mensual'!H12</f>
        <v>Sin registro</v>
      </c>
      <c r="E12" s="29">
        <f>'04_Seguimiento_Mensual'!F12</f>
        <v>-284939118.77732331</v>
      </c>
      <c r="F12" s="5" t="str">
        <f t="shared" si="0"/>
        <v>Pendiente de diligenciar valor ejecutado.</v>
      </c>
    </row>
    <row r="13" spans="1:6" ht="27.75" customHeight="1" x14ac:dyDescent="0.25">
      <c r="B13" s="37" t="s">
        <v>137</v>
      </c>
      <c r="C13" s="38">
        <f>'04_Seguimiento_Mensual'!G13</f>
        <v>0</v>
      </c>
      <c r="D13" s="39" t="str">
        <f>'04_Seguimiento_Mensual'!H13</f>
        <v>Sin registro</v>
      </c>
      <c r="E13" s="29">
        <f>'04_Seguimiento_Mensual'!F13</f>
        <v>-284939118.77732331</v>
      </c>
      <c r="F13" s="5" t="str">
        <f t="shared" si="0"/>
        <v>Pendiente de diligenciar valor ejecutado.</v>
      </c>
    </row>
    <row r="14" spans="1:6" ht="27.75" customHeight="1" x14ac:dyDescent="0.25">
      <c r="B14" s="37" t="s">
        <v>138</v>
      </c>
      <c r="C14" s="38">
        <f>'04_Seguimiento_Mensual'!G14</f>
        <v>0</v>
      </c>
      <c r="D14" s="39" t="str">
        <f>'04_Seguimiento_Mensual'!H14</f>
        <v>Sin registro</v>
      </c>
      <c r="E14" s="29">
        <f>'04_Seguimiento_Mensual'!F14</f>
        <v>-284939118.77732331</v>
      </c>
      <c r="F14" s="5" t="str">
        <f t="shared" si="0"/>
        <v>Pendiente de diligenciar valor ejecutado.</v>
      </c>
    </row>
    <row r="15" spans="1:6" ht="27.75" customHeight="1" x14ac:dyDescent="0.25">
      <c r="B15" s="37" t="s">
        <v>139</v>
      </c>
      <c r="C15" s="38">
        <f>'04_Seguimiento_Mensual'!G15</f>
        <v>0</v>
      </c>
      <c r="D15" s="39" t="str">
        <f>'04_Seguimiento_Mensual'!H15</f>
        <v>Sin registro</v>
      </c>
      <c r="E15" s="29">
        <f>'04_Seguimiento_Mensual'!F15</f>
        <v>-284939118.77732331</v>
      </c>
      <c r="F15" s="5" t="str">
        <f t="shared" si="0"/>
        <v>Pendiente de diligenciar valor ejecutado.</v>
      </c>
    </row>
    <row r="16" spans="1:6" ht="27.75" customHeight="1" x14ac:dyDescent="0.25">
      <c r="B16" s="37" t="s">
        <v>140</v>
      </c>
      <c r="C16" s="38">
        <f>'04_Seguimiento_Mensual'!G16</f>
        <v>0</v>
      </c>
      <c r="D16" s="39" t="str">
        <f>'04_Seguimiento_Mensual'!H16</f>
        <v>Sin registro</v>
      </c>
      <c r="E16" s="29">
        <f>'04_Seguimiento_Mensual'!F16</f>
        <v>-284939118.77732331</v>
      </c>
      <c r="F16" s="5" t="str">
        <f t="shared" si="0"/>
        <v>Pendiente de diligenciar valor ejecutado.</v>
      </c>
    </row>
    <row r="19" spans="1:6" ht="21.75" customHeight="1" x14ac:dyDescent="0.25">
      <c r="A19" s="43" t="s">
        <v>195</v>
      </c>
      <c r="B19" s="43"/>
      <c r="C19" s="43"/>
      <c r="D19" s="43"/>
      <c r="E19" s="43"/>
      <c r="F19" s="43"/>
    </row>
    <row r="20" spans="1:6" x14ac:dyDescent="0.25">
      <c r="B20" s="36" t="s">
        <v>196</v>
      </c>
      <c r="C20" s="40">
        <f>COUNTIF(D5:D16,"Dentro de franja")</f>
        <v>0</v>
      </c>
      <c r="D20" s="59"/>
      <c r="E20" s="59"/>
      <c r="F20" s="59"/>
    </row>
    <row r="21" spans="1:6" x14ac:dyDescent="0.25">
      <c r="B21" s="36" t="s">
        <v>197</v>
      </c>
      <c r="C21" s="40">
        <f>COUNTIF(D5:D16,"Fuera - subejecución")</f>
        <v>0</v>
      </c>
      <c r="D21" s="59"/>
      <c r="E21" s="59"/>
      <c r="F21" s="59"/>
    </row>
    <row r="22" spans="1:6" x14ac:dyDescent="0.25">
      <c r="B22" s="36" t="s">
        <v>198</v>
      </c>
      <c r="C22" s="40">
        <f>COUNTIF(D5:D16,"Fuera - sobreejecución")</f>
        <v>0</v>
      </c>
      <c r="D22" s="59"/>
      <c r="E22" s="59"/>
      <c r="F22" s="59"/>
    </row>
    <row r="23" spans="1:6" x14ac:dyDescent="0.25">
      <c r="B23" s="36" t="s">
        <v>199</v>
      </c>
      <c r="C23" s="40">
        <f>COUNTIF(D5:D16,"Sin registro")</f>
        <v>12</v>
      </c>
      <c r="D23" s="59"/>
      <c r="E23" s="59"/>
      <c r="F23" s="59"/>
    </row>
    <row r="25" spans="1:6" ht="21.75" customHeight="1" x14ac:dyDescent="0.25">
      <c r="A25" s="43" t="s">
        <v>200</v>
      </c>
      <c r="B25" s="43"/>
      <c r="C25" s="43"/>
      <c r="D25" s="43"/>
      <c r="E25" s="43"/>
      <c r="F25" s="43"/>
    </row>
    <row r="26" spans="1:6" x14ac:dyDescent="0.25">
      <c r="B26" s="32" t="s">
        <v>143</v>
      </c>
      <c r="C26" s="32" t="s">
        <v>125</v>
      </c>
      <c r="D26" s="32" t="s">
        <v>149</v>
      </c>
      <c r="E26" s="32" t="s">
        <v>151</v>
      </c>
      <c r="F26" s="32" t="s">
        <v>152</v>
      </c>
    </row>
    <row r="27" spans="1:6" x14ac:dyDescent="0.25">
      <c r="B27" s="39" t="str">
        <f>'05_Seguimiento_Trimestral'!B4</f>
        <v>I Trimestre</v>
      </c>
      <c r="C27" s="38">
        <f>'05_Seguimiento_Trimestral'!F4</f>
        <v>0</v>
      </c>
      <c r="D27" s="39" t="str">
        <f>'05_Seguimiento_Trimestral'!I4</f>
        <v>Sin ejecución</v>
      </c>
      <c r="E27" s="29">
        <f>'05_Seguimiento_Trimestral'!K4</f>
        <v>0</v>
      </c>
      <c r="F27" s="29">
        <f>'05_Seguimiento_Trimestral'!L4</f>
        <v>0</v>
      </c>
    </row>
    <row r="28" spans="1:6" x14ac:dyDescent="0.25">
      <c r="B28" s="39" t="str">
        <f>'05_Seguimiento_Trimestral'!B5</f>
        <v>II Trimestre</v>
      </c>
      <c r="C28" s="38">
        <f>'05_Seguimiento_Trimestral'!F5</f>
        <v>0</v>
      </c>
      <c r="D28" s="39" t="str">
        <f>'05_Seguimiento_Trimestral'!I5</f>
        <v>Sin ejecución</v>
      </c>
      <c r="E28" s="29">
        <f>'05_Seguimiento_Trimestral'!K5</f>
        <v>0</v>
      </c>
      <c r="F28" s="29">
        <f>'05_Seguimiento_Trimestral'!L5</f>
        <v>0</v>
      </c>
    </row>
    <row r="29" spans="1:6" x14ac:dyDescent="0.25">
      <c r="B29" s="39" t="str">
        <f>'05_Seguimiento_Trimestral'!B6</f>
        <v>III Trimestre</v>
      </c>
      <c r="C29" s="38">
        <f>'05_Seguimiento_Trimestral'!F6</f>
        <v>0</v>
      </c>
      <c r="D29" s="39" t="str">
        <f>'05_Seguimiento_Trimestral'!I6</f>
        <v>Sin ejecución</v>
      </c>
      <c r="E29" s="29">
        <f>'05_Seguimiento_Trimestral'!K6</f>
        <v>0</v>
      </c>
      <c r="F29" s="29">
        <f>'05_Seguimiento_Trimestral'!L6</f>
        <v>0</v>
      </c>
    </row>
    <row r="30" spans="1:6" x14ac:dyDescent="0.25">
      <c r="B30" s="39" t="str">
        <f>'05_Seguimiento_Trimestral'!B7</f>
        <v>IV Trimestre</v>
      </c>
      <c r="C30" s="38">
        <f>'05_Seguimiento_Trimestral'!F7</f>
        <v>0</v>
      </c>
      <c r="D30" s="39" t="str">
        <f>'05_Seguimiento_Trimestral'!I7</f>
        <v>Sin ejecución</v>
      </c>
      <c r="E30" s="29">
        <f>'05_Seguimiento_Trimestral'!K7</f>
        <v>0</v>
      </c>
      <c r="F30" s="29">
        <f>'05_Seguimiento_Trimestral'!L7</f>
        <v>0</v>
      </c>
    </row>
  </sheetData>
  <mergeCells count="8">
    <mergeCell ref="D22:F22"/>
    <mergeCell ref="D23:F23"/>
    <mergeCell ref="A25:F25"/>
    <mergeCell ref="A1:F1"/>
    <mergeCell ref="A3:F3"/>
    <mergeCell ref="A19:F19"/>
    <mergeCell ref="D20:F20"/>
    <mergeCell ref="D21:F21"/>
  </mergeCells>
  <conditionalFormatting sqref="D5:D16">
    <cfRule type="expression" dxfId="6" priority="2">
      <formula>$D5="Dentro de franja"</formula>
    </cfRule>
    <cfRule type="expression" dxfId="5" priority="3">
      <formula>$D5="Fuera - subejecución"</formula>
    </cfRule>
    <cfRule type="expression" dxfId="4" priority="4">
      <formula>$D5="Fuera - sobreejecución"</formula>
    </cfRule>
    <cfRule type="expression" dxfId="3" priority="5">
      <formula>$D5="Sin registro"</formula>
    </cfRule>
  </conditionalFormatting>
  <conditionalFormatting sqref="D27:D30">
    <cfRule type="expression" dxfId="2" priority="6">
      <formula>$D27="Dentro de franja"</formula>
    </cfRule>
    <cfRule type="expression" dxfId="1" priority="7">
      <formula>$D27="Fuera - subejecución"</formula>
    </cfRule>
    <cfRule type="expression" dxfId="0" priority="8">
      <formula>$D27="Fuera - sobreejecución"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01_Instrucciones</vt:lpstr>
      <vt:lpstr>02_Datos_Contrato</vt:lpstr>
      <vt:lpstr>03_Nota_Tecnica</vt:lpstr>
      <vt:lpstr>04_Seguimiento_Mensual</vt:lpstr>
      <vt:lpstr>05_Seguimiento_Trimestral</vt:lpstr>
      <vt:lpstr>06_Cierre_Anual</vt:lpstr>
      <vt:lpstr>07_Alertas_Semaforo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DIRECCION DEL  RIESGO</cp:lastModifiedBy>
  <cp:revision>0</cp:revision>
  <dcterms:created xsi:type="dcterms:W3CDTF">2026-04-20T01:00:35Z</dcterms:created>
  <dcterms:modified xsi:type="dcterms:W3CDTF">2026-04-20T16:41:35Z</dcterms:modified>
  <dc:language>en-US</dc:language>
</cp:coreProperties>
</file>